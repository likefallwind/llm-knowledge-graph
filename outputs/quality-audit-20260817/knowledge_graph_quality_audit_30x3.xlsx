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80" activeTab="2"/>
  </bookViews>
  <sheets>
    <sheet name="审计说明与汇总" sheetId="1" r:id="rId1"/>
    <sheet name="Entity审计" sheetId="2" r:id="rId2"/>
    <sheet name="Assertion审计" sheetId="3" r:id="rId3"/>
    <sheet name="二元关系映射"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<sst xmlns="http://schemas.openxmlformats.org/spreadsheetml/2006/main" count="1503" uniqueCount="861">
  <si>
    <t>知识图谱质量人工审计｜30 × 3</t>
  </si>
  <si>
    <t>数据库</t>
  </si>
  <si>
    <t>tmp/fresh200-c6-20260815-202545.db</t>
  </si>
  <si>
    <t>抽样种子</t>
  </si>
  <si>
    <t>Entity 总体 / 样本</t>
  </si>
  <si>
    <t>603 / 30</t>
  </si>
  <si>
    <t>Assertion 总体 / 样本</t>
  </si>
  <si>
    <t>625 / 30</t>
  </si>
  <si>
    <t>映射总体 / 样本</t>
  </si>
  <si>
    <t>审计对象</t>
  </si>
  <si>
    <t>总体</t>
  </si>
  <si>
    <t>样本</t>
  </si>
  <si>
    <t>合格/一致</t>
  </si>
  <si>
    <t>不合格/不一致</t>
  </si>
  <si>
    <t>不确定</t>
  </si>
  <si>
    <t>已审计率</t>
  </si>
  <si>
    <t>精度</t>
  </si>
  <si>
    <t>Entity</t>
  </si>
  <si>
    <t>Assertion</t>
  </si>
  <si>
    <t>Claim–Assertion 映射</t>
  </si>
  <si>
    <t>判定口径</t>
  </si>
  <si>
    <t>删除代码块、练习题和操作步骤后，仍是可稳定复指、可独立学习或定义的知识对象。</t>
  </si>
  <si>
    <t>原文直接支持完整命题；条件、范围、数量、时间、否定和版本信息没有被遗漏或扩大。</t>
  </si>
  <si>
    <t>二元映射</t>
  </si>
  <si>
    <t>Claim 的 subject–relation–object 必须忠实投影该 Assertion 的核心参与者、含义和方向。</t>
  </si>
  <si>
    <t>允许省略</t>
  </si>
  <si>
    <t>Claim 可以省略已经保存在 Assertion 中的限制性 scope，但不能因此让边本身产生明显误导。</t>
  </si>
  <si>
    <t>稳定性</t>
  </si>
  <si>
    <t>不作为主验收指标；本工作簿只测当前 200-chunk 结果的实体精度、命题精度和投影精度。</t>
  </si>
  <si>
    <t>Entity 精度审计｜30 条</t>
  </si>
  <si>
    <t>只评估该对象是否应成为独立 Entity，以及定义、别名和证据是否忠实。黄色列由审计人填写。</t>
  </si>
  <si>
    <t>样本ID</t>
  </si>
  <si>
    <t>Entity ID</t>
  </si>
  <si>
    <t>规范名</t>
  </si>
  <si>
    <t>规范定义</t>
  </si>
  <si>
    <t>全局别名</t>
  </si>
  <si>
    <t>类型画像</t>
  </si>
  <si>
    <t>观察数</t>
  </si>
  <si>
    <t>Chunk</t>
  </si>
  <si>
    <t>本次观察名</t>
  </si>
  <si>
    <t>观察定义</t>
  </si>
  <si>
    <t>Passage IDs</t>
  </si>
  <si>
    <t>来源位置</t>
  </si>
  <si>
    <t>原文证据</t>
  </si>
  <si>
    <t>模型引文</t>
  </si>
  <si>
    <t>人工结论</t>
  </si>
  <si>
    <t>错误类型</t>
  </si>
  <si>
    <t>建议修正</t>
  </si>
  <si>
    <t>备注</t>
  </si>
  <si>
    <t>E01</t>
  </si>
  <si>
    <t>优化算法</t>
  </si>
  <si>
    <t>优化算法是机器学习与深度学习中用于在给定模型和损失（或目标）函数的前提下，搜索并更新参数以使其取最优值（通常是最小化损失）的算法；它构成训练流程的关键步骤之一，其中大多数流行方法基于梯度下降，并常以"优化器"的形式由现代深度学习框架直接提供。</t>
  </si>
  <si>
    <t>优化算法 | 优化器 | algorithm</t>
  </si>
  <si>
    <t>data | technology | 优化方法 | 模型组件</t>
  </si>
  <si>
    <t>用于训练深度学习模型的几种常用算法。</t>
  </si>
  <si>
    <t>["P000025"]</t>
  </si>
  <si>
    <t>P000025 section 《动手学深度学习》 &gt; 前言 &gt; 关于本书 &gt; 内容和结构; page 1, chars 3842-4110</t>
  </si>
  <si>
    <t>* 第三部分讨论可伸缩性、效率和应用程序。
首先，在 :numref:`chap_optimization` 中，我们讨论了用于训练深度学习模型的几种常用优化算法。下一章 :numref:`chap_performance` 将探讨影响深度学习代码计算性能的几个关键因素。在 :numref:`chap_cv` 中，我们展示了深度学习在计算机视觉中的主要应用。在 :numref:`chap_nlp_pretrain` 和 :numref:`chap_nlp_app` 中，我们展示了如何预训练语言表示模型并将其应用于自然语言处理任务。</t>
  </si>
  <si>
    <t>在 :numref:`chap_optimization` 中，我们讨论了用于训练深度学习模型的几种常用优化算法。</t>
  </si>
  <si>
    <t>不合格</t>
  </si>
  <si>
    <t>别名错误</t>
  </si>
  <si>
    <r>
      <t>algorithm</t>
    </r>
    <r>
      <rPr>
        <sz val="10"/>
        <color rgb="FF243746"/>
        <rFont val="宋体"/>
        <charset val="134"/>
      </rPr>
      <t>这个别名错了</t>
    </r>
  </si>
  <si>
    <t>不严重</t>
  </si>
  <si>
    <t>E02</t>
  </si>
  <si>
    <t>随机梯度下降</t>
  </si>
  <si>
    <t>随机梯度下降（SGD）是一类通过每次随机抽取小批量样本来近似计算梯度，并沿负梯度方向迭代更新模型参数的优化算法，是深度学习中最常用的优化方法之一。</t>
  </si>
  <si>
    <t>随机梯度下降 | SGD</t>
  </si>
  <si>
    <t>technology | 优化方法</t>
  </si>
  <si>
    <t>深度学习优化的主力，依赖相对较小的小批量数据</t>
  </si>
  <si>
    <t>["P000267"]</t>
  </si>
  <si>
    <t>P000267 section 《动手学深度学习》 &gt; 引言 &gt; 深度学习的发展; page 1, chars 36426-37542</t>
  </si>
  <si>
    <t>* 新的容量控制方法，如*dropout* :cite:`Srivastava.Hinton.Krizhevsky.ea.2014`，有助于减轻过拟合的危险。这是通过在整个神经网络中应用噪声注入 :cite:`Bishop.1995` 来实现的，出于训练目的，用随机变量来代替权重。
* 注意力机制解决了困扰统计学一个多世纪的问题：如何在不增加可学习参数的情况下增加系统的记忆和复杂性。研究人员通过使用只能被视为可学习的指针结构 :cite:`Bahdanau.Cho.Bengio.2014` 找到了一个优雅的解决方案。不需要记住整个文本序列（例如用于固定维度表示中的机器翻译），所有需要存储的都是指向翻译过程的中间状态的指针。这大大提高了长序列的准确性，因为模型在开始生成新序列之前不再需要记住整个序列。
* 多阶段设计。例如，存储器网络 :cite:`Sukhbaatar.Weston.Fergus.ea.2015` 和神经编程器-解释器 :cite:`Reed.De-Freitas.2015`。它们允许统计建模者描述用于推理的迭代方法。这些工具允许重复修改深度神经网络的内部状态，从而执行推理链中的后续步骤，类似于处理器如何修改用于计算的存储器。
* 另一个关键的发展是生成对抗网络 :cite:`Goodfellow.Pouget-Abadie.Mirza.ea.2014` 的发明。传统模型中，密度估计和生成模型的统计方法侧重于找到合适的概率分布（通常是近似的）和抽样算法。因此，这些算法在很大程度上受到统计模型固有灵活性的限制。生成式对抗性网络的关键创新是用具有可微参数的任意算法代替采样器。然后对这些数据进行调整，使得鉴别器（实际上是一个双样本测试）不能区分假数据和真实数据。通过使用任意算法生成数据的能力，它为各种技术打开了密度估计的大门。驰骋的斑马 :cite:`Zhu.Park.Isola.ea.2017` 和假名人脸 :cite:`Karras.Aila.Laine.ea.2017` 的例子都证明了这一进展。即使是业余的涂鸦者也可以根据描述场景布局的草图生成照片级真实图像（ :cite:`Park.Liu.Wang.ea.2019` ）。
* 在许多情况下，单个GPU不足以处理可用于训练的大量数据。在过去的十年中，构建并行和分布式训练算法的能力有了显著提高。设计可伸缩算法的关键挑战之一是深度学习优化的主力——随机梯度下降，它依赖于相对较小的小批量数据来处理。同时，小批量限制了GPU的效率。因此，在1024个GPU上进行训练，例如每批32个图像的小批量大小相当于总计约32000个图像的小批量。</t>
  </si>
  <si>
    <t>深度学习优化的主力——随机梯度下降，它依赖于相对较小的小批量数据来处理</t>
  </si>
  <si>
    <t>合格</t>
  </si>
  <si>
    <t/>
  </si>
  <si>
    <t>E03</t>
  </si>
  <si>
    <t>多层感知机</t>
  </si>
  <si>
    <t>多层感知机（Multilayer Perceptron，简称 MLP）是一种由多个全连接层堆叠而成的深度神经网络，在输入层和输出层之间加入一个或多个隐藏层并通过激活函数引入非线性，是深度学习中最基本、最经典的模型之一。</t>
  </si>
  <si>
    <t>多层感知机 | MLP | multilayer perceptron</t>
  </si>
  <si>
    <t>concept | technology | 机器学习模型 | 模型架构</t>
  </si>
  <si>
    <t>由多个全连接层堆叠构成的神经网络，前 L-1 层作为表示，最后一层作为线性预测器；通过在每个隐藏层后施加非线性激活函数可获得比线性模型更强的表达能力。</t>
  </si>
  <si>
    <t>["P001577", "P001580"]</t>
  </si>
  <si>
    <t>P001577 section 《动手学深度学习》 &gt; 多层感知机 &gt; 多层感知机 &gt; 隐藏层 &gt; 从线性到非线性; page 1, chars 193435-193605; P001580 section 《动手学深度学习》 &gt; 多层感知机 &gt; 多层感知机 &gt; 隐藏层 &gt; 从线性到非线性; page 1, chars 194044-194260</t>
  </si>
  <si>
    <t>为了发挥多层架构的潜力，
我们还需要一个额外的关键要素：
在仿射变换之后对每个隐藏单元应用非线性的*激活函数*（activation function）$\sigma$。
激活函数的输出（例如，$\sigma(\cdot)$）被称为*活性值*（activations）。
一般来说，有了激活函数，就不可能再将我们的多层感知机退化成线性模型：
为了构建更通用的多层感知机，
我们可以继续堆叠这样的隐藏层，
例如$\mathbf{H}^{(1)} = \sigma_1(\mathbf{X} \mathbf{W}^{(1)} + \mathbf{b}^{(1)})$和$\mathbf{H}^{(2)} = \sigma_2(\mathbf{H}^{(1)} \mathbf{W}^{(2)} + \mathbf{b}^{(2)})$，
一层叠一层，从而产生更有表达能力的模型。</t>
  </si>
  <si>
    <t>为了构建更通用的多层感知机，我们可以继续堆叠这样的隐藏层……一层叠一层，从而产生更有表达能力的模型。</t>
  </si>
  <si>
    <t>E04</t>
  </si>
  <si>
    <t>macOS</t>
  </si>
  <si>
    <t>macOS 是由苹果公司（Apple）为 Mac 系列计算机开发的桌面操作系统，基于 Unix 内核（Darwin）。它最初以 Mac OS X 为名发布，Unix 基础使其用户可以像在 Linux 上一样通过 bash 脚本来执行软件安装等操作。</t>
  </si>
  <si>
    <t>操作系统</t>
  </si>
  <si>
    <t>macOS 是一种操作系统，可通过下载名称含“MacOSX”字符串的 bash 脚本来安装 Miniconda。</t>
  </si>
  <si>
    <t>["P000062"]</t>
  </si>
  <si>
    <t>P000062 section 《动手学深度学习》 &gt; 安装 &gt; 安装 Miniconda; page 1, chars 10717-10787</t>
  </si>
  <si>
    <t>如果我们使用macOS，假设Python版本是3.9（我们的测试版本），将下载名称包含字符串“MacOSX”的bash脚本，并执行以下操作：</t>
  </si>
  <si>
    <t>如果我们使用macOS，假设Python版本是3.9（我们的测试版本），将下载名称包含字符串"MacOSX"的bash脚本</t>
  </si>
  <si>
    <t>E05</t>
  </si>
  <si>
    <t>标量</t>
  </si>
  <si>
    <t>标量（scalar）是线性代数中仅含一个数值的零阶基本数学对象，在本书中约定用斜体小写字母（如 $x$）表示，它既可作为向量的元素，也是向量、矩阵、张量由低维到高维逐级推广的起点。</t>
  </si>
  <si>
    <t>标量 | scalar | $x$</t>
  </si>
  <si>
    <t>concept | 数学对象 | 计算操作</t>
  </si>
  <si>
    <t>组成向量的单个数值，向量的元素即为标量。</t>
  </si>
  <si>
    <t>["P000487", "P000493"]</t>
  </si>
  <si>
    <t>P000487 section 《动手学深度学习》 &gt; 预备知识 &gt; 线性代数 &gt; 向量; page 1, chars 60701-61005; P000493 section 《动手学深度学习》 &gt; 预备知识 &gt; 线性代数 &gt; 向量; page 1, chars 61275-61400</t>
  </si>
  <si>
    <t>[**向量可以被视为标量值组成的列表**]。
这些标量值被称为向量的*元素*（element）或*分量*（component）。
当向量表示数据集中的样本时，它们的值具有一定的现实意义。
例如，如果我们正在训练一个模型来预测贷款违约风险，可能会将每个申请人与一个向量相关联，
其分量与其收入、工作年限、过往违约次数和其他因素相对应。
如果我们正在研究医院患者可能面临的心脏病发作风险，可能会用一个向量来表示每个患者，
其分量为最近的生命体征、胆固醇水平、每天运动时间等。
在数学表示法中，向量通常记为粗体、小写的符号
（例如，$\mathbf{x}$、$\mathbf{y}$和$\mathbf{z})$）。
我们可以使用下标来引用向量的任一元素，例如可以通过$x_i$来引用第$i$个元素。
注意，元素$x_i$是一个标量，所以我们在引用它时不会加粗。
大量文献认为列向量是向量的默认方向，在本书中也是如此。
在数学中，向量$\mathbf{x}$可以写为：</t>
  </si>
  <si>
    <t>向量可以被视为标量值组成的列表。注意，元素x_i是一个标量</t>
  </si>
  <si>
    <r>
      <t>x</t>
    </r>
    <r>
      <rPr>
        <sz val="10"/>
        <color rgb="FF243746"/>
        <rFont val="宋体"/>
        <charset val="134"/>
      </rPr>
      <t>不是别名，是例子</t>
    </r>
  </si>
  <si>
    <t>E06</t>
  </si>
  <si>
    <t>并集（集合论）</t>
  </si>
  <si>
    <t>集合论中的一种基本二元运算，对两个集合 A 和 B 取并集，记作 A∪B，结果为包含所有属于 A 或属于 B 的元素的集合。它是集合论中与交集、相对补集并列的基本运算之一，通常以符号 ∪ 表示。</t>
  </si>
  <si>
    <t>并集 | $\mathcal{A}\cup\mathcal{B}$</t>
  </si>
  <si>
    <t>concept | 集合论概念</t>
  </si>
  <si>
    <t>并集</t>
  </si>
  <si>
    <t>由符号 $\mathcal{A}\cup\mathcal{B}$ 表示的集合运算，其结果为集合 $\mathcal{A}$ 和集合 $\mathcal{B}$ 的并集。</t>
  </si>
  <si>
    <t>["P000126"]</t>
  </si>
  <si>
    <t>P000126 section 《动手学深度学习》 &gt; 符号 &gt; 集合论; page 1, chars 14548-14918</t>
  </si>
  <si>
    <t>* $\mathcal{X}$: 集合
* $\mathbb{Z}$: 整数集合
* $\mathbb{R}$: 实数集合
* $\mathbb{R}^n$: $n$维实数向量集合
* $\mathbb{R}^{a\times b}$: 包含$a$行和$b$列的实数矩阵集合
* $\mathcal{A}\cup\mathcal{B}$: 集合$\mathcal{A}$和$\mathcal{B}$的并集
* $\mathcal{A}\cap\mathcal{B}$：集合$\mathcal{A}$和$\mathcal{B}$的交集
* $\mathcal{A}\setminus\mathcal{B}$：集合$\mathcal{A}$与集合$\mathcal{B}$相减，$\mathcal{B}$关于$\mathcal{A}$的相对补集</t>
  </si>
  <si>
    <t>$\mathcal{A}\cup\mathcal{B}$: 集合$\mathcal{A}$和$\mathcal{B}$的并集</t>
  </si>
  <si>
    <t>E07</t>
  </si>
  <si>
    <t>矩阵求逆</t>
  </si>
  <si>
    <t>矩阵求逆是对方阵（或更一般地，可逆线性映射）求其逆矩阵的运算，结果通常记为 X⁻¹，满足 X·X⁻¹ = X⁻¹·X = I；该术语也泛指对可逆函数求反函数，并常以统一的上标 −1 记号表示，因而在符号表中常与转置、点积等基本运算符并列。</t>
  </si>
  <si>
    <t>逆 | 矩阵的逆 | $\mathbf{X}^{-1}$</t>
  </si>
  <si>
    <t>concept | 数学函数 | 计算操作</t>
  </si>
  <si>
    <t>矩阵的逆</t>
  </si>
  <si>
    <t>矩阵 $\mathbf{X}$ 的逆矩阵，记为 $\mathbf{X}^{-1}$</t>
  </si>
  <si>
    <t>["P000128"]</t>
  </si>
  <si>
    <t>P000128 section 《动手学深度学习》 &gt; 符号 &gt; 函数和运算符; page 1, chars 14932-15346</t>
  </si>
  <si>
    <t>* $f(\cdot)$：函数
* $\log(\cdot)$：自然对数
* $\exp(\cdot)$: 指数函数
* $\mathbf{1}_\mathcal{X}$: 指示函数
* $\mathbf{(\cdot)}^\top$: 向量或矩阵的转置
* $\mathbf{X}^{-1}$: 矩阵的逆
* $\odot$: 按元素相乘
* $[\cdot, \cdot]$：连结
* $\lvert \mathcal{X} \rvert$：集合的基数
* $\|\cdot\|_p$: ：$L_p$ 正则
* $\|\cdot\|$: $L_2$ 正则
* $\langle \mathbf{x}, \mathbf{y} \rangle$：向量$\mathbf{x}$和$\mathbf{y}$的点积
* $\sum$: 连加
* $\prod$: 连乘
* $\stackrel{\mathrm{def}}{=}$：定义</t>
  </si>
  <si>
    <t>$\mathbf{X}^{-1}$: 矩阵的逆</t>
  </si>
  <si>
    <t>E08</t>
  </si>
  <si>
    <t>导数</t>
  </si>
  <si>
    <t>导数是微积分中描述函数相对于自变量瞬时变化率的基本概念，其极限形式为 f'(x) = lim_{h→0} [f(x+h)−f(x)]/h。它在几何上等价于函数曲线在某点的切线斜率，常用 f'(x)、dy/dx、d/dx f(x) 等记号表示。</t>
  </si>
  <si>
    <t>导数 | dy/dx | $\frac{dy}{dx}$ | f'(x) | y' | df/dx | d/dx f(x) | Df(x) | D_x f(x) | 瞬时变化率 | instantaneous rate of change | 瞬时变化率（instantaneous）</t>
  </si>
  <si>
    <t>concept | 微积分概念</t>
  </si>
  <si>
    <t>函数的极限形式，定义为 f'(x) = lim_{h→0} [f(x+h)-f(x)]/h，可解释为 f(x) 相对于 x 的瞬时变化率</t>
  </si>
  <si>
    <t>["P000712", "P000713", "P000727"]</t>
  </si>
  <si>
    <t>P000712 section 《动手学深度学习》 &gt; 预备知识 &gt; 微积分 &gt; 导数和微分; page 1, chars 81654-81719; P000713 section 《动手学深度学习》 &gt; 预备知识 &gt; 微积分 &gt; 导数和微分; page 1, chars 81721-81915; P000727 section 《动手学深度学习》 &gt; 预备知识 &gt; 微积分 &gt; 导数和微分; page 1, chars 83155-83241</t>
  </si>
  <si>
    <t>(**$$f'(x) = \lim_{h \rightarrow 0} \frac{f(x+h) - f(x)}{h}.$$**)
如果$f'(a)$存在，则称$f$在$a$处是*可微*（differentiable）的。
如果$f$在一个区间内的每个数上都是可微的，则此函数在此区间中是可微的。
我们可以将 :eqref:`eq_derivative`中的导数$f'(x)$解释为$f(x)$相对于$x$的*瞬时*（instantaneous）变化率。
所谓的瞬时变化率是基于$x$中的变化$h$，且$h$接近$0$。
$$f'(x) = y' = \frac{dy}{dx} = \frac{df}{dx} = \frac{d}{dx} f(x) = Df(x) = D_x f(x),$$</t>
  </si>
  <si>
    <t>f'(x) = lim_{h→0} [f(x+h)-f(x)]/h；我们可以将导数 f'(x) 解释为 f(x) 相对于 x 的瞬时变化率</t>
  </si>
  <si>
    <t>E09</t>
  </si>
  <si>
    <t>定积分</t>
  </si>
  <si>
    <t>定积分是微积分中的基本概念，表示函数在给定闭区间上的累积求和，通常用记号 ∫_a^b f(x) dx 表示函数 f 在区间 [a, b] 上关于变量 x 的定积分，与只求原函数的不定积分相区别。</t>
  </si>
  <si>
    <t>定积分 | ∫_a^b f(x) dx | $\int_a^b f(x) \;dx$</t>
  </si>
  <si>
    <t>函数f在区间[a, b]上关于x的定积分</t>
  </si>
  <si>
    <t>["P000130"]</t>
  </si>
  <si>
    <t>P000130 section 《动手学深度学习》 &gt; 符号 &gt; 微积分; page 1, chars 15357-15562</t>
  </si>
  <si>
    <t>* $\frac{dy}{dx}$：$y$关于$x$的导数
* $\frac{\partial y}{\partial x}$：$y$关于$x$的偏导数
* $\nabla_{\mathbf{x}} y$：$y$关于$\mathbf{x}$的梯度
* $\int_a^b f(x) \;dx$: $f$在$a$到$b$区间上关于$x$的定积分
* $\int f(x) \;dx$: $f$关于$x$的不定积分</t>
  </si>
  <si>
    <t>$\int_a^b f(x) \;dx$: $f$在$a$到$b$区间上关于$x$的定积分</t>
  </si>
  <si>
    <t>E10</t>
  </si>
  <si>
    <t>实数集合</t>
  </si>
  <si>
    <t>实数集合是由符号 $\mathbb{R}$ 表示的、包含全体实数的数学集合。它在数学与机器学习中常作为标量、向量（$\mathbb{R}^n$）和矩阵（$\mathbb{R}^{a\times b}$）的取值空间，表达式 $x \in \mathbb{R}$ 是表示 $x$ 为实值标量的正式形式。</t>
  </si>
  <si>
    <t>实数集合 | $\mathbb{R}$ | ℝ | 实数空间</t>
  </si>
  <si>
    <t>concept | 数学对象 | 集合论概念</t>
  </si>
  <si>
    <t>由符号 $\mathbb{R}$ 表示的、所有实数组成的集合。</t>
  </si>
  <si>
    <t>$\mathbb{R}$: 实数集合</t>
  </si>
  <si>
    <t>E11</t>
  </si>
  <si>
    <t>n维实数向量空间</t>
  </si>
  <si>
    <t>由符号 $\mathbb{R}^n$ 表示的、由所有 $n$ 元实数有序组（即 $n$ 维实数向量）构成的集合，依逐分量加法和标量乘法自然地构成实数域上的 $n$ 维向量空间。</t>
  </si>
  <si>
    <t>n维实数向量集合 | $\mathbb{R}^n$</t>
  </si>
  <si>
    <t>concept | 数学对象</t>
  </si>
  <si>
    <t>n维实数向量集合</t>
  </si>
  <si>
    <t>由符号 $\mathbb{R}^n$ 表示的、由 $n$ 维实数向量构成的集合。</t>
  </si>
  <si>
    <t>$\mathbb{R}^n$: $n$维实数向量集合</t>
  </si>
  <si>
    <t>E12</t>
  </si>
  <si>
    <t>不均衡数据集</t>
  </si>
  <si>
    <t>不均衡数据集是指训练数据中某些类别或人群缺少样本表示的数据集；它是机器学习中常见的数据问题，可能导致模型在样本不足的群体上表现失效。</t>
  </si>
  <si>
    <t>不均衡的数据集 | imbalanced dataset</t>
  </si>
  <si>
    <t>data | 数据问题</t>
  </si>
  <si>
    <t>不均衡的数据集</t>
  </si>
  <si>
    <t>训练数据中某些类别或人群缺少样本表示的数据集，是数据问题的常见来源，可能导致模型在缺少样本的群体上表现失效。</t>
  </si>
  <si>
    <t>["P000163"]</t>
  </si>
  <si>
    <t>P000163 section 《动手学深度学习》 &gt; 引言 &gt; 机器学习中的关键组件 &gt; 数据; page 1, chars 20359-20673</t>
  </si>
  <si>
    <t>请注意，仅仅拥有海量的数据是不够的，我们还需要正确的数据。
如果数据中充满了错误，或者如果数据的特征不能预测任务目标，那么模型很可能无效。
有一句古语很好地反映了这个现象：“输入的是垃圾，输出的也是垃圾。”（“Garbage in, garbage out.”）
此外，糟糕的预测性能甚至会加倍放大事态的严重性。
在一些敏感应用中，如预测性监管、简历筛选和用于贷款的风险模型，我们必须特别警惕垃圾数据带来的后果。
一种常见的问题来自不均衡的数据集，比如在一个有关医疗的训练数据集中，某些人群没有样本表示。
想象一下，假设我们想要训练一个皮肤癌识别模型，但它（在训练数据集中）从未“见过”黑色皮肤的人群，这个模型就会顿时束手无策。</t>
  </si>
  <si>
    <t>一种常见的问题来自不均衡的数据集，比如在一个有关医疗的训练数据集中，某些人群没有样本表示。</t>
  </si>
  <si>
    <t>E13</t>
  </si>
  <si>
    <t>测试数据集</t>
  </si>
  <si>
    <t>测试数据集是机器学习中与训练数据集相分离的一组样本，用于在模型拟合完成后评估其在未见数据上的性能，而不参与模型参数的训练过程。</t>
  </si>
  <si>
    <t>测试数据集 | 测试集 | test dataset | test set</t>
  </si>
  <si>
    <t>数据集</t>
  </si>
  <si>
    <t>与训练数据集不同的"新数据集"，用于评估拟合后的模型在未见数据上的性能</t>
  </si>
  <si>
    <t>["P000170"]</t>
  </si>
  <si>
    <t>P000170 section 《动手学深度学习》 &gt; 引言 &gt; 机器学习中的关键组件 &gt; 目标函数; page 1, chars 21497-21718</t>
  </si>
  <si>
    <t>通常，损失函数是根据模型参数定义的，并取决于数据集。
在一个数据集上，我们可以通过最小化总损失来学习模型参数的最佳值。
该数据集由一些为训练而收集的样本组成，称为*训练数据集*（training dataset，或称为*训练集*（training set））。
然而，在训练数据上表现良好的模型，并不一定在“新数据集”上有同样的性能，这里的“新数据集”通常称为*测试数据集*（test dataset，或称为*测试集*（test set））。</t>
  </si>
  <si>
    <t>然而，在训练数据上表现良好的模型，并不一定在"新数据集"上有同样的性能，这里的"新数据集"通常称为*测试数据集*（test dataset，或称为*测试集*（test set））</t>
  </si>
  <si>
    <t>E14</t>
  </si>
  <si>
    <t>多类分类</t>
  </si>
  <si>
    <t>多类分类（multiclass classification）是指类别数大于二、每个样本需被分到多个互斥类别中之一的分类任务，与二项分类（两个类别）相对；其典型实现采用 softmax 回归，并以交叉熵作为常用损失函数。</t>
  </si>
  <si>
    <t>多项分类 | multiclass classification | 多分类</t>
  </si>
  <si>
    <t>分类任务</t>
  </si>
  <si>
    <t>多项分类</t>
  </si>
  <si>
    <t>输出为多个互斥类别之一的分类方法，与二项分类和多标签分类相对。</t>
  </si>
  <si>
    <t>["P000202"]</t>
  </si>
  <si>
    <t>P000202 section 《动手学深度学习》 &gt; 引言 &gt; 各种机器学习问题 &gt; 监督学习 &gt; 标记问题; page 1, chars 25944-26228</t>
  </si>
  <si>
    <t>有些分类问题很适合于二项分类或多项分类。
例如，我们可以训练一个普通的二项分类器来区分猫和狗。
运用最前沿的计算机视觉的算法，这个模型可以很轻松地被训练。
尽管如此，无论模型有多精确，当分类器遇到新的动物时可能会束手无策。
比如 :numref:`fig_stackedanimals`所示的这张“不来梅的城市音乐家”的图像 （这是一个流行的德国童话故事），图中有一只猫、一只公鸡、一只狗、一头驴，背景是一些树。
取决于我们最终想用模型做什么，将其视为二项分类问题可能没有多大意义。
取而代之，我们可能想让模型描绘输入图像的内容，一只猫、一只公鸡、一只狗，还有一头驴。</t>
  </si>
  <si>
    <t>有些分类问题很适合于二项分类或多项分类。</t>
  </si>
  <si>
    <t>E15</t>
  </si>
  <si>
    <t>分类器（机器学习）</t>
  </si>
  <si>
    <t>分类器是机器学习中用于分类任务的模型，通过训练学习从输入特征到离散类别的映射，输出预测的类别标签或各类别的概率。与回归模型输出连续数值不同，分类器解决的是判断样本属于哪一类的"哪一个"问题，可处理二分类及多分类场景。</t>
  </si>
  <si>
    <t>分类器 | classifier</t>
  </si>
  <si>
    <t>机器学习模型</t>
  </si>
  <si>
    <t>分类器</t>
  </si>
  <si>
    <t>分类任务中训练得到的模型，输出预测的类别。</t>
  </si>
  <si>
    <t>["P000193", "P000194"]</t>
  </si>
  <si>
    <t>P000193 section 《动手学深度学习》 &gt; 引言 &gt; 各种机器学习问题 &gt; 监督学习 &gt; 分类; page 1, chars 24315-24673; P000194 section 《动手学深度学习》 &gt; 引言 &gt; 各种机器学习问题 &gt; 监督学习 &gt; 分类; page 1, chars 24675-24871</t>
  </si>
  <si>
    <t>虽然回归模型可以很好地解决“有多少”的问题，但是很多问题并非如此。
例如，一家银行希望在其移动应用程序中添加支票扫描功能。
具体地说，这款应用程序能够自动理解从图像中看到的文本，并将手写字符映射到对应的已知字符之上。
这种“哪一个”的问题叫做*分类*（classification）问题。
*分类*问题希望模型能够预测样本属于哪个*类别*（category，正式称为*类*（class））。
例如，手写数字可能有10类，标签被设置为数字0～9。
最简单的分类问题是只有两类，这被称之为*二项分类*（binomial classification）。
例如，数据集可能由动物图像组成，标签可能是$\mathrm{\{猫, 狗\}}$两类。
回归是训练一个回归函数来输出一个数值；
分类是训练一个分类器来输出预测的类别。
然而模型怎么判断得出这种“是”或“不是”的硬分类预测呢？
我们可以试着用概率语言来理解模型。
给定一个样本特征，模型为每个可能的类分配一个概率。
比如，之前的猫狗分类例子中，分类器可能会输出图像是猫的概率为0.9。
0.9这个数字表达什么意思呢？
可以这样理解：分类器90%确定图像描绘的是一只猫。
预测类别的概率的大小传达了一种模型的不确定性，本书后面章节将讨论其他运用不确定性概念的算法。</t>
  </si>
  <si>
    <t>分类是训练一个分类器来输出预测的类别</t>
  </si>
  <si>
    <t>E16</t>
  </si>
  <si>
    <t>显式反馈（推荐系统）</t>
  </si>
  <si>
    <t>显式反馈是推荐系统中由用户主动提供的一类反馈数据，用于直接表达对物品的偏好程度，常见形式包括评分、评论和点赞等。与隐性反馈（如浏览、跳过等间接行为信号）不同，显式反馈通常包含用户明确给出的数值或文本评价。</t>
  </si>
  <si>
    <t>显式反馈 | 明确反馈 | explicit feedback</t>
  </si>
  <si>
    <t>反馈类型</t>
  </si>
  <si>
    <t>显式反馈</t>
  </si>
  <si>
    <t>客户在推荐系统应用中提供的明确反馈，用于表达对特定产品的喜爱程度，例如亚马逊上的产品评级和评论。</t>
  </si>
  <si>
    <t>["P000211"]</t>
  </si>
  <si>
    <t>P000211 section 《动手学深度学习》 &gt; 引言 &gt; 各种机器学习问题 &gt; 监督学习 &gt; 推荐系统; page 1, chars 27417-27756</t>
  </si>
  <si>
    <t>在某些应用中，客户会提供明确反馈，表达他们对特定产品的喜爱程度。
例如，亚马逊上的产品评级和评论。
在其他一些情况下，客户会提供隐性反馈。
例如，某用户跳过播放列表中的某些歌曲，这可能说明这些歌曲对此用户不大合适。
总的来说，推荐系统会为“给定用户和物品”的匹配性打分，这个“分数”可能是估计的评级或购买的概率。
由此，对于任何给定的用户，推荐系统都可以检索得分最高的对象集，然后将其推荐给用户。以上只是简单的算法，而工业生产的推荐系统要先进得多，它会将详细的用户活动和项目特征考虑在内。
推荐系统算法经过调整，可以捕捉一个人的偏好。
比如， :numref:`fig_deeplearning_amazon` 是亚马逊基于个性化算法推荐的深度学习书籍，成功地捕捉了作者的喜好。</t>
  </si>
  <si>
    <t>客户会提供明确反馈，表达他们对特定产品的喜爱程度。例如，亚马逊上的产品评级和评论。</t>
  </si>
  <si>
    <t>E17</t>
  </si>
  <si>
    <t>马尔可夫决策过程</t>
  </si>
  <si>
    <t>马尔可夫决策过程（MDP）是用于建模序贯决策的数学框架，其核心特征是满足马尔可夫性质，即下一状态与奖励仅取决于当前状态和所选动作。在强化学习语境下，它特指环境可被完全观察到的情形，区别于多臂赌博机和上下文赌博机等无状态或状态不依赖历史操作的设置。</t>
  </si>
  <si>
    <t>马尔可夫决策过程 | markov decision process</t>
  </si>
  <si>
    <t>强化学习概念</t>
  </si>
  <si>
    <t>当环境可被完全观察到时，强化学习问题的特例。</t>
  </si>
  <si>
    <t>["P000248"]</t>
  </si>
  <si>
    <t>P000248 section 《动手学深度学习》 &gt; 引言 &gt; 各种机器学习问题 &gt; 强化学习; page 1, chars 32960-33144</t>
  </si>
  <si>
    <t>当环境可被完全观察到时，强化学习问题被称为*马尔可夫决策过程*（markov decision process）。
当状态不依赖于之前的操作时，我们称该问题为*上下文赌博机*（contextual bandit problem）。
当没有状态，只有一组最初未知回报的可用动作时，这个问题就是经典的*多臂赌博机*（multi-armed bandit problem）。</t>
  </si>
  <si>
    <t>当环境可被完全观察到时，强化学习问题被称为马尔可夫决策过程。</t>
  </si>
  <si>
    <t>E18</t>
  </si>
  <si>
    <t>CNTK</t>
  </si>
  <si>
    <t>CNTK 是由微软开发的第二代深度学习框架，属于继 Caffe、Torch、Theano 等第一代框架之后兴起的主流深度学习工具之一，与 TensorFlow、Caffe 2、Apache MXNet 同属这一代。</t>
  </si>
  <si>
    <t>计算工具</t>
  </si>
  <si>
    <t>取代第一代深度学习框架的第二代框架</t>
  </si>
  <si>
    <t>["P000268"]</t>
  </si>
  <si>
    <t>P000268 section 《动手学深度学习》 &gt; 引言 &gt; 深度学习的发展; page 1, chars 37542-38643</t>
  </si>
  <si>
    <t>最近的工作，首先是由 :cite:`Li.2017` 完成的，随后是 :cite:`You.Gitman.Ginsburg.2017` 和 :cite:`Jia.Song.He.ea.2018` ，将观察大小提高到64000个，将ResNet-50模型在ImageNet数据集上的训练时间减少到不到7分钟。作为比较——最初的训练时间是按天为单位的。
* 并行计算的能力也对强化学习的进步做出了相当关键的贡献。这导致了计算机在围棋、雅达里游戏、星际争霸和物理模拟（例如，使用MuJoCo）中实现超人性能的重大进步。有关如何在AlphaGo中实现这一点的说明，请参见如 :cite:`Silver.Huang.Maddison.ea.2016` 。简而言之，如果有大量的（状态、动作、奖励）三元组可用，即只要有可能尝试很多东西来了解它们之间的关系，强化学习就会发挥最好的作用。仿真提供了这样一条途径。
* 深度学习框架在传播思想方面发挥了至关重要的作用。允许轻松建模的第一代框架包括[Caffe](https://github.com/BVLC/caffe)、[Torch](https://github.com/torch)和[Theano](https://github.com/Theano/Theano)。许多开创性的论文都是用这些工具写的。到目前为止，它们已经被[TensorFlow](https://github.com/tensorflow/tensorflow)（通常通过其高级API [Keras](https://github.com/keras-team/keras)使用）、[CNTK](https://github.com/Microsoft/CNTK)、[Caffe 2](https://github.com/caffe2/caffe2)和[Apache MXNet](https://github.com/apache/incubator-mxnet)所取代。第三代工具，即用于深度学习的命令式工具，可以说是由[Chainer](https://github.com/chainer/chainer)率先推出的，它使用类似于Python NumPy的语法来描述模型。这个想法被[PyTorch](https://github.com/pytorch/pytorch)、MXNet的[Gluon API](https://github.com/apache/incubator-mxnet)和[Jax](https://github.com/google/jax)都采纳了。</t>
  </si>
  <si>
    <t>它们已经被TensorFlow（通常通过其高级API Keras使用）、CNTK、Caffe 2和Apache MXNet所取代</t>
  </si>
  <si>
    <t>E19</t>
  </si>
  <si>
    <t>tf.exp</t>
  </si>
  <si>
    <t>tf.exp 是 TensorFlow 中对输入逐元素计算指数（即 e^x）的函数，属于与 np.exp、torch.exp 平行的逐元素数学运算 API。</t>
  </si>
  <si>
    <t>concept | 计算操作</t>
  </si>
  <si>
    <t>TensorFlow 中对输入逐元素计算指数（e^x）的函数</t>
  </si>
  <si>
    <t>["P000361"]</t>
  </si>
  <si>
    <t>P000361 section 《动手学深度学习》 &gt; 预备知识 &gt; 数据操作 &gt; 运算符; page 1, chars 49467-49517</t>
  </si>
  <si>
    <t>```{.python .input}
#@tab tensorflow
tf.exp(x)
```</t>
  </si>
  <si>
    <t>tf.exp(x)</t>
  </si>
  <si>
    <t>E20</t>
  </si>
  <si>
    <t>.item()方法（PyTorch张量）</t>
  </si>
  <si>
    <t>它是PyTorch张量上的一个实例方法，用于将仅含单个元素（大小为1）的张量转换为对应的Python标量；其作用与Python内置函数（如float、int）类似，常在需要将张量数值传入Python原生接口的场景中使用。</t>
  </si>
  <si>
    <t>item函数 | item | .item()</t>
  </si>
  <si>
    <t>编程接口 | 计算操作</t>
  </si>
  <si>
    <t>item函数</t>
  </si>
  <si>
    <t>用于将大小为1的张量转换为Python标量的函数，与Python内置函数（如float、int）作用相同。</t>
  </si>
  <si>
    <t>["P000421"]</t>
  </si>
  <si>
    <t>P000421 section 《动手学深度学习》 &gt; 预备知识 &gt; 数据操作 &gt; 节省内存; page 1, chars 55579-55633</t>
  </si>
  <si>
    <t>要(**将大小为1的张量转换为Python标量**)，我们可以调用`item`函数或Python的内置函数。</t>
  </si>
  <si>
    <t>要将大小为1的张量转换为Python标量，我们可以调用item函数或Python的内置函数。</t>
  </si>
  <si>
    <t>E21</t>
  </si>
  <si>
    <t>Frobenius 范数</t>
  </si>
  <si>
    <t>Frobenius 范数是一种矩阵范数，定义为矩阵所有元素平方和的平方根，满足向量范数的全部性质，可视为将矩阵展平为向量后的 L2 范数，在深度学习中常用于衡量矩阵大小及计算优化梯度。</t>
  </si>
  <si>
    <t>Frobenius范数 | Frobenius norm | $\|\mathbf{X}\|_F$ | Frobenius 范数 | ‖·‖_F</t>
  </si>
  <si>
    <t>concept | 数学函数</t>
  </si>
  <si>
    <t>Frobenius范数</t>
  </si>
  <si>
    <t>矩阵元素平方和的平方根，满足向量范数的所有性质，可视为矩阵形向量的 L2 范数。</t>
  </si>
  <si>
    <t>["P000682", "P000683", "P000684"]</t>
  </si>
  <si>
    <t>P000682 section 《动手学深度学习》 &gt; 预备知识 &gt; 线性代数 &gt; 范数; page 1, chars 78459-78570; P000683 section 《动手学深度学习》 &gt; 预备知识 &gt; 线性代数 &gt; 范数; page 1, chars 78572-78643; P000684 section 《动手学深度学习》 &gt; 预备知识 &gt; 线性代数 &gt; 范数; page 1, chars 78645-78711</t>
  </si>
  <si>
    <t>类似于向量的$L_2$范数，[**矩阵**]$\mathbf{X} \in \mathbb{R}^{m \times n}$(**的*Frobenius范数*（Frobenius norm）是矩阵元素平方和的平方根：**)
(**$$\|\mathbf{X}\|_F = \sqrt{\sum_{i=1}^m \sum_{j=1}^n x_{ij}^2}.$$**)
Frobenius范数满足向量范数的所有性质，它就像是矩阵形向量的$L_2$范数。
调用以下函数将计算矩阵的Frobenius范数。</t>
  </si>
  <si>
    <t>矩阵的Frobenius范数（Frobenius norm）是矩阵元素平方和的平方根…Frobenius范数满足向量范数的所有性质，它就像是矩阵形向量的L2范数。</t>
  </si>
  <si>
    <t>E22</t>
  </si>
  <si>
    <t>负对数似然</t>
  </si>
  <si>
    <t>负对数似然是似然函数取对数后再取负号得到的量，记作 -log P(Y|X)，是将概率模型的最大似然估计转化为可优化问题的标准目标函数。优化中通过最小化负对数似然代替最大化似然，且可分解为各样本损失之和；在高斯噪声假设下展开为平方损失形式，在分类场景下与交叉熵损失形式一致。</t>
  </si>
  <si>
    <t>负对数似然 | -log P(y|X)</t>
  </si>
  <si>
    <t>criterion | 概率论概念 | 模型组件</t>
  </si>
  <si>
    <t>似然函数取负对数后得到的量，用作损失函数，与极大似然估计相关</t>
  </si>
  <si>
    <t>["P001111"]</t>
  </si>
  <si>
    <t>P001111 section 《动手学深度学习》 &gt; 线性神经网络 &gt; 线性回归 &gt; 练习; page 1, chars 125306-125887</t>
  </si>
  <si>
    <t>1. 假设我们有一些数据$x_1, \ldots, x_n \in \mathbb{R}$。我们的目标是找到一个常数$b$，使得最小化$\sum_i (x_i - b)^2$。
    1. 找到最优值$b$的解析解。
    1. 这个问题及其解与正态分布有什么关系?
1. 推导出使用平方误差的线性回归优化问题的解析解。为了简化问题，可以忽略偏置$b$（我们可以通过向$\mathbf X$添加所有值为1的一列来做到这一点）。
    1. 用矩阵和向量表示法写出优化问题（将所有数据视为单个矩阵，将所有目标值视为单个向量）。
    1. 计算损失对$w$的梯度。
    1. 通过将梯度设为0、求解矩阵方程来找到解析解。
    1. 什么时候可能比使用随机梯度下降更好？这种方法何时会失效？
1. 假定控制附加噪声$\epsilon$的噪声模型是指数分布。也就是说，$p(\epsilon) = \frac{1}{2} \exp(-|\epsilon|)$
    1. 写出模型$-\log P(\mathbf y \mid \mathbf X)$下数据的负对数似然。
    1. 请试着写出解析解。
    1. 提出一种随机梯度下降算法来解决这个问题。哪里可能出错？（提示：当我们不断更新参数时，在驻点附近会发生什么情况）请尝试解决这个问题。</t>
  </si>
  <si>
    <t>写出模型−logP(y∣X)下数据的负对数似然</t>
  </si>
  <si>
    <t>E23</t>
  </si>
  <si>
    <t>人工智能：一种现代方法</t>
  </si>
  <si>
    <t>由斯图尔特·罗素和彼得·诺维格合著的经典人工智能教科书，常被简称为 AIMA 或"人工智能导论"，是全球高校广泛采用的 AI 标准教材。</t>
  </si>
  <si>
    <t>Artificial Intelligence: A Modern Approach</t>
  </si>
  <si>
    <t>resource</t>
  </si>
  <si>
    <t>由斯图尔特·罗素和彼得·诺维格合著的经典人工智能教科书。</t>
  </si>
  <si>
    <t>["P001107"]</t>
  </si>
  <si>
    <t>P001107 section 《动手学深度学习》 &gt; 线性神经网络 &gt; 线性回归 &gt; 从线性回归到深度网络 &gt; 生物学; page 1, chars 124965-125180</t>
  </si>
  <si>
    <t>当今大多数深度学习的研究几乎没有直接从神经科学中获得灵感。
我们援引斯图尔特·罗素和彼得·诺维格在他们的经典人工智能教科书
*Artificial Intelligence:A Modern Approach* :cite:`Russell.Norvig.2016`
中所说的：虽然飞机可能受到鸟类的启发，但几个世纪以来，鸟类学并不是航空创新的主要驱动力。
同样地，如今在深度学习中的灵感同样或更多地来自数学、统计学和计算机科学。</t>
  </si>
  <si>
    <t>斯图尔特·罗素和彼得·诺维格在他们的经典人工智能教科书*Artificial Intelligence:A Modern Approach*</t>
  </si>
  <si>
    <t>E24</t>
  </si>
  <si>
    <t>迭代周期（epoch）</t>
  </si>
  <si>
    <t>在机器学习训练过程中，迭代周期（epoch）指使用训练数据集中所有样本完成一次完整遍历的训练阶段单位。训练过程通常会运行由超参数 num_epochs 指定的若干个迭代周期，每个周期结束后可对模型进行评估，其取值与学习率一样属于需要通过反复试验调整的超参数。</t>
  </si>
  <si>
    <t>迭代周期 | epoch | num_epochs</t>
  </si>
  <si>
    <t>训练概念 | 训练超参数 | 超参数</t>
  </si>
  <si>
    <t>迭代周期</t>
  </si>
  <si>
    <t>训练过程中遍历一次训练数据集的训练单位，训练函数会运行由num_epochs指定的多个迭代周期</t>
  </si>
  <si>
    <t>["P001477", "P001486", "P001494"]</t>
  </si>
  <si>
    <t>P001477 section 《动手学深度学习》 &gt; 线性神经网络 &gt; softmax回归的从零开始实现 &gt; 训练; page 1, chars 177018-177211; P001486 section 《动手学深度学习》 &gt; 线性神经网络 &gt; softmax回归的从零开始实现 &gt; 训练; page 1, chars 181999-182159; P001494 section 《动手学深度学习》 &gt; 线性神经网络 &gt; softmax回归的从零开始实现 &gt; 训练; page 1, chars 183398-183488</t>
  </si>
  <si>
    <t>在我们看过 :numref:`sec_linear_scratch`中的线性回归实现，
[**softmax回归的训练**]过程代码应该看起来非常眼熟。
在这里，我们重构训练过程的实现以使其可重复使用。
首先，我们定义一个函数来训练一个迭代周期。
请注意，`updater`是更新模型参数的常用函数，它接受批量大小作为参数。
它可以是`d2l.sgd`函数，也可以是框架的内置优化函数。
接下来我们实现一个[**训练函数**]，
它会在`train_iter`访问到的训练数据集上训练一个模型`net`。
该训练函数将会运行多个迭代周期（由`num_epochs`指定）。
在每个迭代周期结束时，利用`test_iter`访问到的测试数据集对模型进行评估。
我们将利用`Animator`类来可视化训练进度。
现在，我们[**训练模型10个迭代周期**]。
请注意，迭代周期（`num_epochs`）和学习率（`lr`）都是可调节的超参数。
通过更改它们的值，我们可以提高模型的分类精度。</t>
  </si>
  <si>
    <t>我们定义一个函数来训练一个迭代周期</t>
  </si>
  <si>
    <t>E25</t>
  </si>
  <si>
    <t>MXNet init.Normal（正态分布权重初始化）</t>
  </si>
  <si>
    <t>MXNet 框架中用于按正态分布初始化模型参数（通常为权重）的初始化器，通过 `sigma` 参数指定标准差；在 Gluon 环境下使用时，偏置参数默认初始化为零。</t>
  </si>
  <si>
    <t>init.Normal</t>
  </si>
  <si>
    <t>参数初始化方法 | 模型组件 | 编程接口</t>
  </si>
  <si>
    <t>MXNet 中用于按正态分布初始化权重的函数，通过参数 `sigma` 指定标准差；默认情况下偏置初始化为零。</t>
  </si>
  <si>
    <t>["P001220", "P001224"]</t>
  </si>
  <si>
    <t>P001220 section 《动手学深度学习》 &gt; 线性神经网络 &gt; 线性回归的简洁实现 &gt; (**初始化模型参数**); page 1, chars 141145-141319; P001224 section 《动手学深度学习》 &gt; 线性神经网络 &gt; 线性回归的简洁实现 &gt; (**初始化模型参数**); page 1, chars 141857-141943</t>
  </si>
  <si>
    <t>:begin_tab:`mxnet`
我们从MXNet导入`initializer`模块，这个模块提供了各种模型参数初始化方法。
Gluon将`init`作为访问`initializer`包的快捷方式。
我们可以通过调用`init.Normal(sigma=0.01)`来指定初始化权重的方法。
默认情况下，偏置参数初始化为零。
:end_tab:
```{.python .input}
from mxnet import init
net.initialize(init.Normal(sigma=0.01))
```</t>
  </si>
  <si>
    <t>我们可以通过调用`init.Normal(sigma=0.01)`来指定初始化权重的方法。</t>
  </si>
  <si>
    <t>E26</t>
  </si>
  <si>
    <t>软性类别（机器学习分类）</t>
  </si>
  <si>
    <t>软性类别是机器学习分类问题中的一种输出目标，指希望得到样本属于每个类别的概率；与仅关心样本归属哪个类别的硬性类别相对，二者界限往往比较模糊，即使只关心硬类别，也常常使用软性类别的模型来间接获得硬类别结果。</t>
  </si>
  <si>
    <t>软性类别</t>
  </si>
  <si>
    <t>软分类输出</t>
  </si>
  <si>
    <t>分类问题中希望得到样本属于每个类别的概率</t>
  </si>
  <si>
    <t>["P001279"]</t>
  </si>
  <si>
    <t>P001279 section 《动手学深度学习》 &gt; 线性神经网络 &gt; softmax回归; page 1, chars 148805-148942</t>
  </si>
  <si>
    <t>通常，机器学习实践者用*分类*这个词来描述两个有微妙差别的问题：
1. 我们只对样本的“硬性”类别感兴趣，即属于哪个类别；
2. 我们希望得到“软性”类别，即得到属于每个类别的概率。
这两者的界限往往很模糊。其中的一个原因是：即使我们只关心硬类别，我们仍然使用软类别的模型。</t>
  </si>
  <si>
    <t>我们希望得到'软性'类别，即得到属于每个类别的概率</t>
  </si>
  <si>
    <t>E27</t>
  </si>
  <si>
    <t>对数似然</t>
  </si>
  <si>
    <t>对数似然（log-likelihood）是似然函数取自然对数后得到的统计量，记为 log P(Y|X)，在最大似然估计中作为待最大化的目标出现；在指数族分布等模型中，其梯度具有简洁形式，使得基于梯度的优化在实践中易于实现。</t>
  </si>
  <si>
    <t>概率论概念</t>
  </si>
  <si>
    <t>似然函数取对数后的统计量；在指数族分布模型中其梯度具有特定形式，使梯度计算在实践中变得容易</t>
  </si>
  <si>
    <t>["P001322"]</t>
  </si>
  <si>
    <t>P001322 section 《动手学深度学习》 &gt; 线性神经网络 &gt; softmax回归 &gt; 损失函数 &gt; softmax及其导数; page 1, chars 154418-154679</t>
  </si>
  <si>
    <t>换句话说，导数是我们softmax模型分配的概率与实际发生的情况（由独热标签向量表示）之间的差异。
从这个意义上讲，这与我们在回归中看到的非常相似，
其中梯度是观测值$y$和估计值$\hat{y}$之间的差异。
这不是巧合，在任何指数族分布模型中
（参见[本书附录中关于数学分布的一节](https://d2l.ai/chapter_appendix-mathematics-for-deep-learning/distributions.html)），
对数似然的梯度正是由此得出的。
这使梯度计算在实践中变得容易很多。</t>
  </si>
  <si>
    <t>在任何指数族分布模型中，对数似然的梯度正是由此得出的</t>
  </si>
  <si>
    <t>E28</t>
  </si>
  <si>
    <t>Fashion-MNIST数据集</t>
  </si>
  <si>
    <t>一种用于图像分类任务的服装类基准数据集，由10个类别的服饰图像组成，训练集和测试集分别为60000和10000张28×28像素的灰度图像；因其数据规模与输入格式与MNIST一致但分类难度更高，常作为MNIST的直接替代品来评估各类分类算法。</t>
  </si>
  <si>
    <t>Fashion-MNIST数据集 | Fashion-MNIST</t>
  </si>
  <si>
    <t>用于图像分类的数据集，由10个类别的图像组成；训练集中每个类别6000张图像（共60000张），测试集中每个类别1000张图像（共10000张），输入图像为28×28像素的灰度图像（通道数为1）。</t>
  </si>
  <si>
    <t>["P001360", "P001363", "P001366"]</t>
  </si>
  <si>
    <t>P001360 section 《动手学深度学习》 &gt; 线性神经网络 &gt; 图像分类数据集 &gt; 读取数据集; page 1, chars 158997-159147; P001363 section 《动手学深度学习》 &gt; 线性神经网络 &gt; 图像分类数据集 &gt; 读取数据集; page 1, chars 159319-159413; P001366 section 《动手学深度学习》 &gt; 线性神经网络 &gt; 图像分类数据集 &gt; 读取数据集; page 1, chars 159493-159659</t>
  </si>
  <si>
    <t>Fashion-MNIST由10个类别的图像组成，
每个类别由*训练数据集*（train dataset）中的6000张图像
和*测试数据集*（test dataset）中的1000张图像组成。
因此，训练集和测试集分别包含60000和10000张图像。
测试数据集不会用于训练，只用于评估模型性能。
每个输入图像的高度和宽度均为28像素。
数据集由灰度图像组成，其通道数为1。
为了简洁起见，本书将高度$h$像素、宽度$w$像素图像的形状记为$h \times w$或（$h$,$w$）。
Fashion-MNIST中包含的10个类别，分别为t-shirt（T恤）、trouser（裤子）、pullover（套衫）、dress（连衣裙）、coat（外套）、sandal（凉鞋）、shirt（衬衫）、sneaker（运动鞋）、bag（包）和ankle boot（短靴）。
以下函数用于在数字标签索引及其文本名称之间进行转换。</t>
  </si>
  <si>
    <t>Fashion-MNIST由10个类别的图像组成，每个类别由训练数据集（train dataset）中的6000张图像和测试数据集（test dataset）中的1000张图像组成。</t>
  </si>
  <si>
    <t>E29</t>
  </si>
  <si>
    <t>Flatten层（nn.Flatten）</t>
  </si>
  <si>
    <t>nn.Flatten 是 PyTorch 和 Paddle 框架中提供的一个神经网络层类，用于将多维输入张量展平为二维张量（保留批量维度、展平其余维度）。它通常作为网络模块插入在线性（全连接）层之前，把卷积或池化等层输出的特征图转换为一维向量，以适配后续 nn.Linear 等需要二维输入的操作。</t>
  </si>
  <si>
    <t>nn.Flatten</t>
  </si>
  <si>
    <t>模型组件 | 编程接口</t>
  </si>
  <si>
    <t>PyTorch/Paddle框架中将多维输入展平为二维的层</t>
  </si>
  <si>
    <t>["P001518", "P001522"]</t>
  </si>
  <si>
    <t>P001518 section 《动手学深度学习》 &gt; 线性神经网络 &gt; softmax回归的简洁实现 &gt; 初始化模型参数; page 1, chars 185962-186115; P001522 section 《动手学深度学习》 &gt; 线性神经网络 &gt; softmax回归的简洁实现 &gt; 初始化模型参数; page 1, chars 186527-186613</t>
  </si>
  <si>
    <t>```{.python .input}
#@tab pytorch
### PyTorch不会隐式地调整输入的形状。因此，
### 我们在线性层前定义了展平层（flatten），来调整网络输入的形状
net = nn.Sequential(nn.Flatten(), nn.Linear(784, 10))
```{.python .input}
#@tab paddle
net = nn.Sequential(nn.Flatten(), nn.Linear(784, 10))</t>
  </si>
  <si>
    <t>我们在线性层前定义了展平层（flatten），来调整网络输入的形状</t>
  </si>
  <si>
    <t>E30</t>
  </si>
  <si>
    <t>隐藏层</t>
  </si>
  <si>
    <t>隐藏层是神经网络中介于输入层与输出层之间的层，通过引入非线性变换使网络能够克服线性模型的限制，从而拟合更普遍类型的函数关系。</t>
  </si>
  <si>
    <t>模型组件</t>
  </si>
  <si>
    <t>多层感知机中介于输入和输出层之间的层，其参数为权重 W^(1) 与偏置 b^(1)，输出为隐藏表示 H。</t>
  </si>
  <si>
    <t>["P001572"]</t>
  </si>
  <si>
    <t>P001572 section 《动手学深度学习》 &gt; 多层感知机 &gt; 多层感知机 &gt; 隐藏层 &gt; 从线性到非线性; page 1, chars 192108-192690</t>
  </si>
  <si>
    <t>同之前的章节一样，
我们通过矩阵$\mathbf{X} \in \mathbb{R}^{n \times d}$
来表示$n$个样本的小批量，
其中每个样本具有$d$个输入特征。
对于具有$h$个隐藏单元的单隐藏层多层感知机，
用$\mathbf{H} \in \mathbb{R}^{n \times h}$表示隐藏层的输出，
称为*隐藏表示*（hidden representations）。
在数学或代码中，$\mathbf{H}$也被称为*隐藏层变量*（hidden-layer variable）
或*隐藏变量*（hidden variable）。
因为隐藏层和输出层都是全连接的，
所以我们有隐藏层权重$\mathbf{W}^{(1)} \in \mathbb{R}^{d \times h}$
和隐藏层偏置$\mathbf{b}^{(1)} \in \mathbb{R}^{1 \times h}$
以及输出层权重$\mathbf{W}^{(2)} \in \mathbb{R}^{h \times q}$
和输出层偏置$\mathbf{b}^{(2)} \in \mathbb{R}^{1 \times q}$。
形式上，我们按如下方式计算单隐藏层多层感知机的输出
$\mathbf{O} \in \mathbb{R}^{n \times q}$：</t>
  </si>
  <si>
    <t>我们用$\mathbf{H} \in \mathbb{R}^{n \times h}$表示隐藏层的输出……所以我们有隐藏层权重$\mathbf{W}^{(1)}$和隐藏层偏置$\mathbf{b}^{(1)}$。</t>
  </si>
  <si>
    <t>Assertion 原文支持审计｜30 条</t>
  </si>
  <si>
    <t>只判断原文是否支持完整 Assertion；不要因为三元组投影不理想而判 Assertion 错误。黄色列由审计人填写。</t>
  </si>
  <si>
    <t>Assertion ID</t>
  </si>
  <si>
    <t>Claim ID</t>
  </si>
  <si>
    <t>Subject</t>
  </si>
  <si>
    <t>Relation</t>
  </si>
  <si>
    <t>Object</t>
  </si>
  <si>
    <t>完整Assertion</t>
  </si>
  <si>
    <t>Scope</t>
  </si>
  <si>
    <t>限制性Scope</t>
  </si>
  <si>
    <t>极性</t>
  </si>
  <si>
    <t>A01</t>
  </si>
  <si>
    <t>随机变量</t>
  </si>
  <si>
    <t>之间具有协方差</t>
  </si>
  <si>
    <t>协方差</t>
  </si>
  <si>
    <t>记号$\mathrm{Cov}(X, Y)$表示随机变量$X$和$Y$之间具有协方差。</t>
  </si>
  <si>
    <t>否</t>
  </si>
  <si>
    <t>support</t>
  </si>
  <si>
    <t>["P000132"]</t>
  </si>
  <si>
    <t>P000132 section 《动手学深度学习》 &gt; 符号 &gt; 概率与信息论; page 1, chars 15576-15981</t>
  </si>
  <si>
    <t>* $P(\cdot)$：概率分布
* $z \sim P$: 随机变量$z$具有概率分布$P$
* $P(X \mid Y)$：$X\mid Y$的条件概率
* $p(x)$: 概率密度函数
* ${E}_{x} [f(x)]$: 函数$f$对$x$的数学期望
* $X \perp Y$: 随机变量$X$和$Y$是独立的
* $X \perp Y \mid Z$: 随机变量$X$和$Y$在给定随机变量$Z$的条件下是独立的
* $\mathrm{Var}(X)$: 随机变量$X$的方差
* $\sigma_X$: 随机变量$X$的标准差
* $\mathrm{Cov}(X, Y)$: 随机变量$X$和$Y$的协方差
* $\rho(X, Y)$: 随机变量$X$和$Y$的相关性
* $H(X)$: 随机变量$X$的熵
* $D_{\mathrm{KL}}(P\|Q)$: $P$和$Q$的KL-散度</t>
  </si>
  <si>
    <t>$\mathrm{Cov}(X, Y)$: 随机变量$X$和$Y$的协方差</t>
  </si>
  <si>
    <t>A02</t>
  </si>
  <si>
    <t>训练（机器学习）</t>
  </si>
  <si>
    <t>通过迭代优化直至满意</t>
  </si>
  <si>
    <t>模型（机器学习）</t>
  </si>
  <si>
    <t>训练（机器学习）过程通常包括重复获取样本和调整参数，直到模型（机器学习）在任务中的表现令人满意</t>
  </si>
  <si>
    <t>["P000151"]</t>
  </si>
  <si>
    <t>P000151 section 《动手学深度学习》 &gt; 引言 &gt; 日常生活中的机器学习; page 1, chars 18719-18841</t>
  </si>
  <si>
    <t>1. 从一个随机初始化参数的模型开始，这个模型基本没有“智能”；
1. 获取一些数据样本（例如，音频片段以及对应的是或否标签）；
1. 调整参数，使模型在这些样本中表现得更好；
1. 重复第（2）步和第（3）步，直到模型在任务中的表现令人满意。</t>
  </si>
  <si>
    <t>重复第（2）步和第（3）步，直到模型在任务中的表现令人满意。</t>
  </si>
  <si>
    <t>A03</t>
  </si>
  <si>
    <t>维数（机器学习）</t>
  </si>
  <si>
    <t>是属性</t>
  </si>
  <si>
    <t>数据（机器学习）</t>
  </si>
  <si>
    <t>当每个样本的特征类别数量相同时，其特征向量为固定长度，这个长度被称为数据（机器学习）的维数（机器学习）（dimensionality）。</t>
  </si>
  <si>
    <t>当每个样本的特征类别数量相同时</t>
  </si>
  <si>
    <t>是</t>
  </si>
  <si>
    <t>["P000160"]</t>
  </si>
  <si>
    <t>P000160 section 《动手学深度学习》 &gt; 引言 &gt; 机器学习中的关键组件 &gt; 数据; page 1, chars 19866-19962</t>
  </si>
  <si>
    <t>当每个样本的特征类别数量都是相同的时候，其特征向量是固定长度的，这个长度被称为数据的*维数*（dimensionality）。
固定长度的特征向量是一个方便的属性，它可以用来量化学习大量样本。</t>
  </si>
  <si>
    <t>当每个样本的特征类别数量都是相同的时候，其特征向量是固定长度的，这个长度被称为数据的维数（dimensionality）</t>
  </si>
  <si>
    <t>A04</t>
  </si>
  <si>
    <t>推荐系统</t>
  </si>
  <si>
    <t>可能形成</t>
  </si>
  <si>
    <t>反馈循环（推荐系统）</t>
  </si>
  <si>
    <t>推荐系统有可能形成反馈循环（推荐系统），因为推荐系统首先会优先推送购买量较大的商品，而目前用户的购买习惯往往是遵循推荐算法，但学习算法并不总是考虑到这一细节，进而使该商品更频繁地被推荐。</t>
  </si>
  <si>
    <t>["P000213"]</t>
  </si>
  <si>
    <t>P000213 section 《动手学深度学习》 &gt; 引言 &gt; 各种机器学习问题 &gt; 监督学习 &gt; 推荐系统; page 1, chars 27807-28058</t>
  </si>
  <si>
    <t>尽管推荐系统具有巨大的应用价值，但单纯用它作为预测模型仍存在一些缺陷。
首先，我们的数据只包含“审查后的反馈”：用户更倾向于给他们感觉强烈的事物打分。
例如，在五分制电影评分中，会有许多五星级和一星级评分，但三星级却明显很少。
此外，推荐系统有可能形成反馈循环：推荐系统首先会优先推送一个购买量较大（可能被认为更好）的商品，然而目前用户的购买习惯往往是遵循推荐算法，但学习算法并不总是考虑到这一细节，进而更频繁地被推荐。
综上所述，关于如何处理审查、激励和反馈循环的许多问题，都是重要的开放性研究问题。</t>
  </si>
  <si>
    <t>推荐系统有可能形成反馈循环：推荐系统首先会优先推送一个购买量较大（可能被认为更好）的商品，然而目前用户的购买习惯往往是遵循推荐算法，但学习算法并不总是考虑到这一细节，进而更频繁地被推荐。</t>
  </si>
  <si>
    <t>A05</t>
  </si>
  <si>
    <t>部分可观测性（强化学习）</t>
  </si>
  <si>
    <t>是需处理的问题</t>
  </si>
  <si>
    <t>强化学习</t>
  </si>
  <si>
    <t>强化学习可能还必须处理部分可观测性（强化学习）问题</t>
  </si>
  <si>
    <t>["P000245"]</t>
  </si>
  <si>
    <t>P000245 section 《动手学深度学习》 &gt; 引言 &gt; 各种机器学习问题 &gt; 强化学习; page 1, chars 32579-32704</t>
  </si>
  <si>
    <t>强化学习可能还必须处理部分可观测性问题。
也就是说，当前的观察结果可能无法阐述有关当前状态的所有信息。
比方说，一个清洁机器人发现自己被困在一个许多相同的壁橱的房子里。
推断机器人的精确位置（从而推断其状态），需要在进入壁橱之前考虑它之前的观察结果。</t>
  </si>
  <si>
    <t>强化学习可能还必须处理部分可观测性问题</t>
  </si>
  <si>
    <t>A06</t>
  </si>
  <si>
    <t>核方法</t>
  </si>
  <si>
    <t>相比…有优势</t>
  </si>
  <si>
    <t>神经网络</t>
  </si>
  <si>
    <t>在数据和计算稀缺的时代背景下，核方法在经验上证明比神经网络更为优越。</t>
  </si>
  <si>
    <t>数据和计算稀缺的时代背景下</t>
  </si>
  <si>
    <t>["P000259"]</t>
  </si>
  <si>
    <t>P000259 section 《动手学深度学习》 &gt; 引言 &gt; 起源; page 1, chars 34952-35286</t>
  </si>
  <si>
    <t>经过最初的快速发展，神经网络的研究从1995年左右开始停滞不前，直到2005年才稍有起色。
这主要是因为两个原因。
首先，训练网络（在计算上）非常昂贵。
在上个世纪末，随机存取存储器（RAM）非常强大，而计算能力却很弱。
其次，数据集相对较小。
事实上，费舍尔1932年的鸢尾花卉数据集是测试算法有效性的流行工具，
而MNIST数据集的60000个手写数字的数据集被认为是巨大的。
考虑到数据和计算的稀缺性，*核方法*（kernel method）、*决策树*（decision tree）和*图模型*（graph models）等强大的统计工具（在经验上）证明是更为优越的。
与神经网络不同的是，这些算法不需要数周的训练，而且有很强的理论依据，可以提供可预测的结果。</t>
  </si>
  <si>
    <t>考虑到数据和计算的稀缺性，核方法、决策树和图模型等强大的统计工具（在经验上）证明是更为优越的。</t>
  </si>
  <si>
    <t>A07</t>
  </si>
  <si>
    <t>决策树</t>
  </si>
  <si>
    <t>在数据和计算稀缺的时代背景下，决策树在经验上证明比神经网络更为优越。</t>
  </si>
  <si>
    <t>A08</t>
  </si>
  <si>
    <t>GPU（图形处理器）</t>
  </si>
  <si>
    <t>推动兴起</t>
  </si>
  <si>
    <t>约2010年开始，GPU（图形处理器）的普及是那些在计算上看起来不可行的神经网络算法变得热门的驱动因素之一。</t>
  </si>
  <si>
    <t>约2010年开始</t>
  </si>
  <si>
    <t>["P000261"]</t>
  </si>
  <si>
    <t>P000261 section 《动手学深度学习》 &gt; 引言 &gt; 深度学习的发展; page 1, chars 35303-35458</t>
  </si>
  <si>
    <t>大约2010年开始，那些在计算上看起来不可行的神经网络算法变得热门起来，实际上是以下两点导致的：
其一，随着互联网的公司的出现，为数亿在线用户提供服务，大规模数据集变得触手可及；
另外，廉价又高质量的传感器、廉价的数据存储（克莱德定律）以及廉价计算（摩尔定律）的普及，特别是GPU的普及，使大规模算力唾手可得。</t>
  </si>
  <si>
    <t>特别是GPU的普及，使大规模算力唾手可得。</t>
  </si>
  <si>
    <t>A09</t>
  </si>
  <si>
    <t>MuJoCo</t>
  </si>
  <si>
    <t>应用于</t>
  </si>
  <si>
    <t>MuJoCo被用于强化学习的物理模拟中以实现超人性能。</t>
  </si>
  <si>
    <t>在物理模拟的语境下</t>
  </si>
  <si>
    <t>在...物理模拟（例如，使用MuJoCo）中实现超人性能的重大进步</t>
  </si>
  <si>
    <t>A10</t>
  </si>
  <si>
    <t>人工智能</t>
  </si>
  <si>
    <t>应用不当可引发对…的关注</t>
  </si>
  <si>
    <t>程序公平性</t>
  </si>
  <si>
    <t>在日常生活中不加注意地应用人工智能的统计模型，可能引入种族、性别或年龄偏见，从而引发对程序公平性的合理关注</t>
  </si>
  <si>
    <t>在日常生活中不加注意地应用人工智能的统计模型时</t>
  </si>
  <si>
    <t>["P000277"]</t>
  </si>
  <si>
    <t>P000277 section 《动手学深度学习》 &gt; 引言 &gt; 深度学习的成功案例; page 1, chars 40579-40824</t>
  </si>
  <si>
    <t>一个更紧迫的问题是人工智能在日常生活中的应用。
卡车司机和店员完成的许多琐碎的工作很可能也将是自动化的。
农业机器人可能会降低有机农业的成本，它们也将使收割作业自动化。
工业革命的这一阶段可能对社会的大部分地区产生深远的影响，因为卡车司机和店员是许多国家最常见的工作之一。
此外，如果不加注意地应用统计模型，可能会导致种族、性别或年龄偏见，如果自动驱动相应的决策，则会引起对程序公平性的合理关注。
重要的是要确保小心使用这些算法。
就我们今天所知，这比恶意超级智能毁灭人类的风险更令人担忧。</t>
  </si>
  <si>
    <t>如果不加注意地应用统计模型，可能会导致种族、性别或年龄偏见，如果自动驱动相应的决策，则会引起对程序公平性的合理关注。</t>
  </si>
  <si>
    <t>A11</t>
  </si>
  <si>
    <t>深度学习</t>
  </si>
  <si>
    <t>消除领域间界限</t>
  </si>
  <si>
    <t>医学信息学</t>
  </si>
  <si>
    <t>深度学习消除了以前分隔医学信息学与计算机视觉、语音识别、自然语言处理等应用领域的许多界限。</t>
  </si>
  <si>
    <t>与计算机视觉、语音识别、自然语言处理等应用领域之间</t>
  </si>
  <si>
    <t>["P000282"]</t>
  </si>
  <si>
    <t>P000282 section 《动手学深度学习》 &gt; 引言 &gt; 特点; page 1, chars 41669-41808</t>
  </si>
  <si>
    <t>因此，深度学习的一个关键优势是它不仅取代了传统学习管道末端的浅层模型，而且还取代了劳动密集型的特征工程过程。
此外，通过取代大部分特定领域的预处理，深度学习消除了以前分隔计算机视觉、语音识别、自然语言处理、医学信息学和其他应用领域的许多界限，为解决各种问题提供了一套统一的工具。</t>
  </si>
  <si>
    <t>深度学习消除了以前分隔计算机视觉、语音识别、自然语言处理、医学信息学和其他应用领域的许多界限</t>
  </si>
  <si>
    <t>A12</t>
  </si>
  <si>
    <t>MXNet ndarray</t>
  </si>
  <si>
    <t>类似于</t>
  </si>
  <si>
    <t>NumPy ndarray</t>
  </si>
  <si>
    <t>无论使用哪个深度学习框架，MXNet ndarray 都与 NumPy ndarray 类似。</t>
  </si>
  <si>
    <t>["P000300"]</t>
  </si>
  <si>
    <t>P000300 section 《动手学深度学习》 &gt; 预备知识 &gt; 数据操作; page 1, chars 43556-43834</t>
  </si>
  <si>
    <t>首先，我们介绍$n$维数组，也称为*张量*（tensor）。
使用过Python中NumPy计算包的读者会对本部分很熟悉。
无论使用哪个深度学习框架，它的*张量类*（在MXNet中为`ndarray`，
在PyTorch和TensorFlow中为`Tensor`）都与Numpy的`ndarray`类似。
但深度学习框架又比Numpy的`ndarray`多一些重要功能：
首先，GPU很好地支持加速计算，而NumPy仅支持CPU计算；
其次，张量类支持自动微分。
这些功能使得张量类更适合深度学习。
如果没有特殊说明，本书中所说的张量均指的是张量类的实例。</t>
  </si>
  <si>
    <t>无论使用哪个深度学习框架，它的张量类（在MXNet中为ndarray，在PyTorch和TensorFlow中为Tensor）都与Numpy的ndarray类似。</t>
  </si>
  <si>
    <t>A13</t>
  </si>
  <si>
    <t>矩阵</t>
  </si>
  <si>
    <t>经运算生成</t>
  </si>
  <si>
    <t>矩阵转置</t>
  </si>
  <si>
    <t>矩阵通过交换其行和列得到矩阵转置。</t>
  </si>
  <si>
    <t>["P000524"]</t>
  </si>
  <si>
    <t>P000524 section 《动手学深度学习》 &gt; 预备知识 &gt; 线性代数 &gt; 矩阵; page 1, chars 63786-63969</t>
  </si>
  <si>
    <t>当我们交换矩阵的行和列时，结果称为矩阵的*转置*（transpose）。
通常用$\mathbf{a}^\top$来表示矩阵的转置，如果$\mathbf{B}=\mathbf{A}^\top$，
则对于任意$i$和$j$，都有$b_{ij}=a_{ji}$。
因此，在 :eqref:`eq_matrix_def`中的转置是一个形状为$n \times m$的矩阵：</t>
  </si>
  <si>
    <t>当我们交换矩阵的行和列时，结果称为矩阵的*转置*（transpose）。</t>
  </si>
  <si>
    <t>A14</t>
  </si>
  <si>
    <t>是实例</t>
  </si>
  <si>
    <t>范数</t>
  </si>
  <si>
    <t>Frobenius 范数是深度学习中经常使用的范数。</t>
  </si>
  <si>
    <t>在深度学习中</t>
  </si>
  <si>
    <t>["P000695"]</t>
  </si>
  <si>
    <t>P000695 section 《动手学深度学习》 &gt; 预备知识 &gt; 线性代数 &gt; 小结; page 1, chars 79607-79829</t>
  </si>
  <si>
    <t>* 标量、向量、矩阵和张量是线性代数中的基本数学对象。
* 向量泛化自标量，矩阵泛化自向量。
* 标量、向量、矩阵和张量分别具有零、一、二和任意数量的轴。
* 一个张量可以通过`sum`和`mean`沿指定的轴降低维度。
* 两个矩阵的按元素乘法被称为他们的Hadamard积。它与矩阵乘法不同。
* 在深度学习中，我们经常使用范数，如$L_1$范数、$L_2$范数和Frobenius范数。
* 我们可以对标量、向量、矩阵和张量执行各种操作。</t>
  </si>
  <si>
    <t>我们经常使用范数，如$L_1$范数、$L_2$范数和Frobenius范数</t>
  </si>
  <si>
    <t>A15</t>
  </si>
  <si>
    <t>可分解为关键子问题</t>
  </si>
  <si>
    <t>优化</t>
  </si>
  <si>
    <t>在深度学习中，训练（机器学习）（拟合模型）的任务可以分解为优化（用模型拟合观测数据的过程）这一关键问题。</t>
  </si>
  <si>
    <t>深度学习中</t>
  </si>
  <si>
    <t>["P000706", "P000707"]</t>
  </si>
  <si>
    <t>P000706 section 《动手学深度学习》 &gt; 预备知识 &gt; 微积分; page 1, chars 81066-81263; P000707 section 《动手学深度学习》 &gt; 预备知识 &gt; 微积分; page 1, chars 81265-81363</t>
  </si>
  <si>
    <t>在深度学习中，我们“训练”模型，不断更新它们，使它们在看到越来越多的数据时变得越来越好。
通常情况下，变得更好意味着最小化一个*损失函数*（loss function），
即一个衡量“模型有多糟糕”这个问题的分数。
最终，我们真正关心的是生成一个模型，它能够在从未见过的数据上表现良好。
但“训练”模型只能将模型与我们实际能看到的数据相拟合。
因此，我们可以将拟合模型的任务分解为两个关键问题：
* *优化*（optimization）：用模型拟合观测数据的过程；
* *泛化*（generalization）：数学原理和实践者的智慧，能够指导我们生成出有效性超出用于训练的数据集本身的模型。</t>
  </si>
  <si>
    <t>因此，我们可以将拟合模型的任务分解为两个关键问题：优化（optimization）：用模型拟合观测数据的过程</t>
  </si>
  <si>
    <t>A16</t>
  </si>
  <si>
    <t>样本空间</t>
  </si>
  <si>
    <t>由…组成</t>
  </si>
  <si>
    <t>结果（概率论）</t>
  </si>
  <si>
    <t>在掷骰子的示例中，样本空间$\mathcal{S} = \{1, 2, 3, 4, 5, 6\}$由所有结果（概率论）组成，其中每个元素都是结果（概率论）。</t>
  </si>
  <si>
    <t>["P000908"]</t>
  </si>
  <si>
    <t>P000908 section 《动手学深度学习》 &gt; 预备知识 &gt; 概率 &gt; 基本概率论 &gt; 概率论公理; page 1, chars 103025-103334</t>
  </si>
  <si>
    <t>在处理骰子掷出时，我们将集合$\mathcal{S} = \{1, 2, 3, 4, 5, 6\}$
称为*样本空间*（sample space）或*结果空间*（outcome space），
其中每个元素都是*结果*（outcome）。
*事件*（event）是一组给定样本空间的随机结果。
例如，“看到$5$”（$\{5\}$）和“看到奇数”（$\{1, 3, 5\}$）都是掷出骰子的有效事件。
注意，如果一个随机实验的结果在$\mathcal{A}$中，则事件$\mathcal{A}$已经发生。
也就是说，如果投掷出$3$点，因为$3 \in \{1, 3, 5\}$，我们可以说，“看到奇数”的事件发生了。</t>
  </si>
  <si>
    <t>我们将集合$\mathcal{S} = \{1, 2, 3, 4, 5, 6\}$称为样本空间（sample space）...其中每个元素都是结果（outcome）。</t>
  </si>
  <si>
    <t>A17</t>
  </si>
  <si>
    <t>元数据</t>
  </si>
  <si>
    <t>图像的所有元数据可以视为随机变量。</t>
  </si>
  <si>
    <t>["P000917"]</t>
  </si>
  <si>
    <t>P000917 section 《动手学深度学习》 &gt; 预备知识 &gt; 概率 &gt; 处理多个随机变量; page 1, chars 105129-105310</t>
  </si>
  <si>
    <t>再举一个更复杂的例子：图像包含数百万像素，因此有数百万个随机变量。
在许多情况下，图像会附带一个*标签*（label），标识图像中的对象。
我们也可以将标签视为一个随机变量。
我们甚至可以将所有元数据视为随机变量，例如位置、时间、光圈、焦距、ISO、对焦距离和相机类型。
所有这些都是联合发生的随机变量。
当我们处理多个随机变量时，会有若干个变量是我们感兴趣的。</t>
  </si>
  <si>
    <t>我们甚至可以将所有元数据视为随机变量</t>
  </si>
  <si>
    <t>A18</t>
  </si>
  <si>
    <t>torch.distributions</t>
  </si>
  <si>
    <t>提供方法</t>
  </si>
  <si>
    <t>正态分布</t>
  </si>
  <si>
    <t>根据 dir函数 列出的函数名（如 normal），可以推测 torch.distributions 提供了从正态分布中采样的方法。</t>
  </si>
  <si>
    <t>根据 dir函数 列出的函数名推测</t>
  </si>
  <si>
    <t>["P000978"]</t>
  </si>
  <si>
    <t>P000978 section 《动手学深度学习》 &gt; 预备知识 &gt; 查阅文档 &gt; 查找模块中的所有函数和类; page 1, chars 111045-111218</t>
  </si>
  <si>
    <t>通常可以忽略以“`__`”（双下划线）开始和结束的函数，它们是Python中的特殊对象，
或以单个“`_`”（单下划线）开始的函数，它们通常是内部函数。
根据剩余的函数名或属性名，我们可能会猜测这个模块提供了各种生成随机数的方法，
包括从均匀分布（`uniform`）、正态分布（`normal`）和多项分布（`multinomial`）中采样。</t>
  </si>
  <si>
    <t>根据剩余的函数名或属性名，我们可能会猜测这个模块提供了各种生成随机数的方法，包括从均匀分布（uniform）、正态分布（normal）和多项分布（multinomial）中采样。</t>
  </si>
  <si>
    <t>A19</t>
  </si>
  <si>
    <t>梯度下降</t>
  </si>
  <si>
    <t>目标函数</t>
  </si>
  <si>
    <t>梯度下降最简单的用法是计算目标函数（数据集中所有样本的损失均值）关于模型参数的导数</t>
  </si>
  <si>
    <t>["P001039"]</t>
  </si>
  <si>
    <t>P001039 section 《动手学深度学习》 &gt; 线性神经网络 &gt; 线性回归 &gt; 线性回归的基本元素 &gt; 随机梯度下降; page 1, chars 116871-117055</t>
  </si>
  <si>
    <t>梯度下降最简单的用法是计算损失函数（数据集中所有样本的损失均值）
关于模型参数的导数（在这里也可以称为梯度）。
但实际中的执行可能会非常慢：因为在每一次更新参数之前，我们必须遍历整个数据集。
因此，我们通常会在每次需要计算更新的时候随机抽取一小批样本，
这种变体叫做*小批量随机梯度下降*（minibatch stochastic gradient descent）。</t>
  </si>
  <si>
    <t>梯度下降最简单的用法是计算损失函数（数据集中所有样本的损失均值）关于模型参数的导数</t>
  </si>
  <si>
    <t>A20</t>
  </si>
  <si>
    <t>矢量化（计算优化）</t>
  </si>
  <si>
    <t>处理</t>
  </si>
  <si>
    <t>小批量（深度学习）</t>
  </si>
  <si>
    <t>矢量化（计算优化）用于在训练模型时同时处理整个小批量（深度学习）的样本。</t>
  </si>
  <si>
    <t>在训练模型时</t>
  </si>
  <si>
    <t>["P001052"]</t>
  </si>
  <si>
    <t>P001052 section 《动手学深度学习》 &gt; 线性神经网络 &gt; 线性回归 &gt; 矢量化加速; page 1, chars 119057-119151</t>
  </si>
  <si>
    <t>在训练我们的模型时，我们经常希望能够同时处理整个小批量的样本。
为了实现这一点，需要(**我们对计算进行矢量化，
从而利用线性代数库，而不是在Python中编写开销高昂的for循环**)。</t>
  </si>
  <si>
    <t>在训练我们的模型时，我们经常希望能够同时处理整个小批量的样本。为了实现这一点，需要我们对计算进行矢量化</t>
  </si>
  <si>
    <t>A21</t>
  </si>
  <si>
    <t>误差项</t>
  </si>
  <si>
    <t>服从分布</t>
  </si>
  <si>
    <t>在线性回归的观测假设中，误差项服从正态分布，即ε ~ N(0, σ²)</t>
  </si>
  <si>
    <t>线性回归的观测假设中</t>
  </si>
  <si>
    <t>["P001085", "P001087"]</t>
  </si>
  <si>
    <t>P001085 section 《动手学深度学习》 &gt; 线性神经网络 &gt; 线性回归 &gt; 正态分布与平方损失; page 1, chars 122585-122652; P001087 section 《动手学深度学习》 &gt; 线性神经网络 &gt; 线性回归 &gt; 正态分布与平方损失; page 1, chars 122706-122750</t>
  </si>
  <si>
    <t>均方误差损失函数（简称均方损失）可以用于线性回归的一个原因是：
我们假设了观测中包含噪声，其中噪声服从正态分布。
噪声正态分布如下式:
其中，$\epsilon \sim \mathcal{N}(0, \sigma^2)$。</t>
  </si>
  <si>
    <t>我们假设了观测中包含噪声，其中噪声服从正态分布</t>
  </si>
  <si>
    <t>A22</t>
  </si>
  <si>
    <t>矩阵方程</t>
  </si>
  <si>
    <t>解析解</t>
  </si>
  <si>
    <t>在使用平方误差的线性回归优化问题中，对由梯度为零导得的矩阵方程进行求解即可得到解析解。</t>
  </si>
  <si>
    <t>平方误差线性回归优化问题</t>
  </si>
  <si>
    <t>通过将梯度设为0、求解矩阵方程来找到解析解</t>
  </si>
  <si>
    <t>A23</t>
  </si>
  <si>
    <t>权重（机器学习）</t>
  </si>
  <si>
    <t>通过采样从…初始化</t>
  </si>
  <si>
    <t>在使用网络之前初始化模型参数时，权重（机器学习）参数应该从均值为0、标准差为0.01的正态分布中随机采样</t>
  </si>
  <si>
    <t>["P001219"]</t>
  </si>
  <si>
    <t>P001219 section 《动手学深度学习》 &gt; 线性神经网络 &gt; 线性回归的简洁实现 &gt; (**初始化模型参数**); page 1, chars 141026-141143</t>
  </si>
  <si>
    <t>在使用`net`之前，我们需要初始化模型参数。
如在线性回归模型中的权重和偏置。
深度学习框架通常有预定义的方法来初始化参数。
在这里，我们指定每个权重参数应该从均值为0、标准差为0.01的正态分布中随机采样，
偏置参数将初始化为零。</t>
  </si>
  <si>
    <t>我们指定每个权重参数应该从均值为0、标准差为0.01的正态分布中随机采样</t>
  </si>
  <si>
    <t>A24</t>
  </si>
  <si>
    <t>PaddlePaddle</t>
  </si>
  <si>
    <t>提供组件</t>
  </si>
  <si>
    <t>PaddlePaddle 正态分布初始化器（paddle.nn.initializer.Normal）</t>
  </si>
  <si>
    <t>在PaddlePaddle中，使用PaddlePaddle 正态分布初始化器（paddle.nn.initializer.Normal）(0, 0.01)来指定初始化权重的方法</t>
  </si>
  <si>
    <t>["P001223"]</t>
  </si>
  <si>
    <t>P001223 section 《动手学深度学习》 &gt; 线性神经网络 &gt; 线性回归的简洁实现 &gt; (**初始化模型参数**); page 1, chars 141650-141855</t>
  </si>
  <si>
    <t>:begin_tab:`paddle`
正如我们在构造`nn.Linear`时指定输入和输出尺寸一样，
现在我们能直接访问参数以设定它们的初始值。
我们通过`net[0]`选择网络中的第一个图层，
然后使用`weight`和`bias`方法访问参数。
我们可以通过调用`nn.initializer.Normal(0, 0.01)`来指定初始化权重的方法。
默认情况下，偏置参数初始化为零。
:end_tab:</t>
  </si>
  <si>
    <t>我们可以通过调用nn.initializer.Normal(0, 0.01)来指定初始化权重的方法</t>
  </si>
  <si>
    <t>A25</t>
  </si>
  <si>
    <t>计算(目标函数值)</t>
  </si>
  <si>
    <t>训练（机器学习）计算每个迭代周期后的目标函数，并打印它来监控训练（机器学习）。</t>
  </si>
  <si>
    <t>["P001254"]</t>
  </si>
  <si>
    <t>P001254 section 《动手学深度学习》 &gt; 线性神经网络 &gt; 线性回归的简洁实现 &gt; 训练; page 1, chars 145189-145228</t>
  </si>
  <si>
    <t>为了更好的衡量训练效果，我们计算每个迭代周期后的损失，并打印它来监控训练过程。</t>
  </si>
  <si>
    <t>我们计算每个迭代周期后的损失，并打印它来监控训练过程</t>
  </si>
  <si>
    <t>A26</t>
  </si>
  <si>
    <t>分类（机器学习）</t>
  </si>
  <si>
    <t>可转化为</t>
  </si>
  <si>
    <t>回归</t>
  </si>
  <si>
    <t>当分类（机器学习）的类别间存在自然顺序时，可以将分类（机器学习）转变为回归问题，并且保留这种格式是有意义的。</t>
  </si>
  <si>
    <t>类别间存在自然顺序时</t>
  </si>
  <si>
    <t>["P001282"]</t>
  </si>
  <si>
    <t>P001282 section 《动手学深度学习》 &gt; 线性神经网络 &gt; softmax回归 &gt; 分类问题; page 1, chars 149075-149325</t>
  </si>
  <si>
    <t>接下来，我们要选择如何表示标签。
我们有两个明显的选择：最直接的想法是选择$y \in \{1, 2, 3\}$，
其中整数分别代表$\{\text{狗}, \text{猫}, \text{鸡}\}$。
这是在计算机上存储此类信息的有效方法。
如果类别间有一些自然顺序，
比如说我们试图预测$\{\text{婴儿}, \text{儿童}, \text{青少年}, \text{青年人}, \text{中年人}, \text{老年人}\}$，
那么将这个问题转变为回归问题，并且保留这种格式是有意义的。</t>
  </si>
  <si>
    <t>如果类别间有一些自然顺序，比如说我们试图预测{婴儿, 儿童, 青少年, 青年人, 中年人, 老年人}，那么将这个问题转变为回归问题，并且保留这种格式是有意义的。</t>
  </si>
  <si>
    <t>A27</t>
  </si>
  <si>
    <t>输出概率（softmax回归）</t>
  </si>
  <si>
    <t>由运算构造</t>
  </si>
  <si>
    <t>logit（未规范化的预测）</t>
  </si>
  <si>
    <t>在softmax回归的矢量化表达式中，输出概率（softmax回归） Ŷ 由logit（未规范化的预测） O 经 softmax 运算得到，即 Ŷ = softmax(O)。</t>
  </si>
  <si>
    <t>["P001305"]</t>
  </si>
  <si>
    <t>P001305 section 《动手学深度学习》 &gt; 线性神经网络 &gt; softmax回归 &gt; 小批量样本的矢量化; page 1, chars 152219-152358</t>
  </si>
  <si>
    <t>$$ \begin{aligned} \mathbf{O} &amp;= \mathbf{X} \mathbf{W} + \mathbf{b}, \\ \hat{\mathbf{Y}} &amp; = \mathrm{softmax}(\mathbf{O}). \end{aligned} $$</t>
  </si>
  <si>
    <t>Ŷ = softmax(O).</t>
  </si>
  <si>
    <t>A28</t>
  </si>
  <si>
    <t>线性回归</t>
  </si>
  <si>
    <t>使用</t>
  </si>
  <si>
    <t>极大似然估计</t>
  </si>
  <si>
    <t>线性回归中也使用极大似然估计，这与损失函数中采用的方法相同。</t>
  </si>
  <si>
    <t>["P001307", "P001308"]</t>
  </si>
  <si>
    <t>P001307 section 《动手学深度学习》 &gt; 线性神经网络 &gt; softmax回归 &gt; 损失函数; page 1, chars 152680-152689; P001308 section 《动手学深度学习》 &gt; 线性神经网络 &gt; softmax回归 &gt; 损失函数; page 1, chars 152691-152799</t>
  </si>
  <si>
    <t>#### 损失函数
接下来，我们需要一个损失函数来度量预测的效果。
我们将使用最大似然估计，这与在线性回归
（ :numref:`subsec_normal_distribution_and_squared_loss`）
中的方法相同。</t>
  </si>
  <si>
    <t>我们将使用最大似然估计，这与在线性回归中的方法相同。</t>
  </si>
  <si>
    <t>A29</t>
  </si>
  <si>
    <t>精度（分类评估指标）</t>
  </si>
  <si>
    <t>近似于</t>
  </si>
  <si>
    <t>随机猜测</t>
  </si>
  <si>
    <t>在使用随机权重初始化模型时，精度（分类评估指标）应接近于随机猜测，例如在有10个类别情况下精度（分类评估指标）约为0.1。</t>
  </si>
  <si>
    <t>使用随机权重初始化模型时</t>
  </si>
  <si>
    <t>["P001474"]</t>
  </si>
  <si>
    <t>P001474 section 《动手学深度学习》 &gt; 线性神经网络 &gt; softmax回归的从零开始实现 &gt; 分类精度; page 1, chars 176878-176938</t>
  </si>
  <si>
    <t>由于我们使用随机权重初始化`net`模型，
因此该模型的精度应接近于随机猜测。
例如在有10个类别情况下的精度为0.1。</t>
  </si>
  <si>
    <t>由于我们使用随机权重初始化`net`模型，因此该模型的精度应接近于随机猜测。例如在有10个类别情况下的精度为0.1。</t>
  </si>
  <si>
    <t>A30</t>
  </si>
  <si>
    <t>权重衰减</t>
  </si>
  <si>
    <t>正则化</t>
  </si>
  <si>
    <t>权重衰减是正则化技术。</t>
  </si>
  <si>
    <t>["P001556"]</t>
  </si>
  <si>
    <t>P001556 section 《动手学深度学习》 &gt; 多层感知机; page 1, chars 189854-190171</t>
  </si>
  <si>
    <t>在本章中，我们将第一次介绍真正的*深度*网络。
最简单的深度网络称为*多层感知机*。多层感知机由多层神经元组成，
每一层与它的上一层相连，从中接收输入；
同时每一层也与它的下一层相连，影响当前层的神经元。
当我们训练容量较大的模型时，我们面临着*过拟合*的风险。
因此，本章将从基本的概念介绍开始讲起，包括*过拟合*、*欠拟合*和模型选择。
为了解决这些问题，本章将介绍*权重衰减*和*暂退法*等正则化技术。
我们还将讨论数值稳定性和参数初始化相关的问题，
这些问题是成功训练深度网络的关键。
在本章的最后，我们将把所介绍的内容应用到一个真实的案例：房价预测。
关于模型计算性能、可伸缩性和效率相关的问题，我们将放在后面的章节中讨论。</t>
  </si>
  <si>
    <t>本章将介绍权重衰减和暂退法等正则化技术</t>
  </si>
  <si>
    <t>Claim–Assertion 一一对应审计｜30 条</t>
  </si>
  <si>
    <t>判断二元边是否忠实对应完整 Assertion 的核心关系。Scope 可留在 Assertion，但端点、含义和方向不能被偷换。黄色列由审计人填写。</t>
  </si>
  <si>
    <t>Relation Kind</t>
  </si>
  <si>
    <t>Claim二元边</t>
  </si>
  <si>
    <t>对应Assertion</t>
  </si>
  <si>
    <t>映射结论</t>
  </si>
  <si>
    <t>R01</t>
  </si>
  <si>
    <t>Miniconda</t>
  </si>
  <si>
    <t>依赖</t>
  </si>
  <si>
    <t>other</t>
  </si>
  <si>
    <t>Python（编程语言）</t>
  </si>
  <si>
    <t>Miniconda --依赖--&gt; Python（编程语言）</t>
  </si>
  <si>
    <t>Miniconda 依赖 Python（编程语言）。</t>
  </si>
  <si>
    <t>最简单的方法就是安装依赖Python 3.x的[Miniconda](https://conda.io/en/latest/miniconda.html)。
如果已安装conda，则可以跳过以下步骤。访问Miniconda网站，根据Python3.x版本确定适合的版本。</t>
  </si>
  <si>
    <t>["P000061"]</t>
  </si>
  <si>
    <t>P000061 section 《动手学深度学习》 &gt; 安装 &gt; 安装 Miniconda; page 1, chars 10580-10715</t>
  </si>
  <si>
    <t>R02</t>
  </si>
  <si>
    <t>过程确定参数</t>
  </si>
  <si>
    <t>模型参数（机器学习）</t>
  </si>
  <si>
    <t>训练（机器学习） --过程确定参数--&gt; 模型参数（机器学习）</t>
  </si>
  <si>
    <t>通过训练（机器学习）这个过程，我们可以发现正确的模型参数（机器学习）集，从而使模型强制执行所需的行为</t>
  </si>
  <si>
    <t>但如果模型所有的按钮（模型参数）都被随机设置，就不太可能识别出“Alexa”“Hey Siri”或任何其他单词。
在机器学习中，*学习*（learning）是一个训练模型的过程。
通过这个过程，我们可以发现正确的参数集，从而使模型强制执行所需的行为。
换句话说，我们用数据*训练*（train）模型。
如 :numref:`fig_ml_loop`所示，训练过程通常包含如下步骤：</t>
  </si>
  <si>
    <t>["P000150"]</t>
  </si>
  <si>
    <t>P000150 section 《动手学深度学习》 &gt; 引言 &gt; 日常生活中的机器学习; page 1, chars 18527-18717</t>
  </si>
  <si>
    <t>R03</t>
  </si>
  <si>
    <t>传统机器学习方法</t>
  </si>
  <si>
    <t>深度学习 --相比…有优势--&gt; 传统机器学习方法</t>
  </si>
  <si>
    <t>与传统机器学习方法相比，深度学习的一个主要优势是可以处理不同长度的数据。</t>
  </si>
  <si>
    <t>然而，并不是所有的数据都可以用“固定长度”的向量表示。
以图像数据为例，如果它们全部来自标准显微镜设备，那么“固定长度”是可取的；
但是如果图像数据来自互联网，它们很难具有相同的分辨率或形状。
这时，将图像裁剪成标准尺寸是一种方法，但这种办法很局限，有丢失信息的风险。
此外，文本数据更不符合“固定长度”的要求。
比如，对于亚马逊等电子商务网站上的客户评论，有些文本数据很简短（比如“好极了”），有些则长篇大论。
与传统机器学习方法相比，深度学习的一个主要优势是可以处理不同长度的数据。</t>
  </si>
  <si>
    <t>["P000161"]</t>
  </si>
  <si>
    <t>P000161 section 《动手学深度学习》 &gt; 引言 &gt; 机器学习中的关键组件 &gt; 数据; page 1, chars 19964-20207</t>
  </si>
  <si>
    <t>R04</t>
  </si>
  <si>
    <t>智能体（强化学习）</t>
  </si>
  <si>
    <t>接收</t>
  </si>
  <si>
    <t>奖励（强化学习）</t>
  </si>
  <si>
    <t>智能体（强化学习） --接收--&gt; 奖励（强化学习）</t>
  </si>
  <si>
    <t>在每个特定时间点，智能体（强化学习）从环境中获得奖励（强化学习）</t>
  </si>
  <si>
    <t>在强化学习问题中，智能体（agent）在一系列的时间步骤上与环境交互。
在每个特定时间点，智能体从环境接收一些*观察*（observation），并且必须选择一个*动作*（action），然后通过某种机制（有时称为执行器）将其传输回环境，最后智能体从环境中获得*奖励*（reward）。
此后新一轮循环开始，智能体接收后续观察，并选择后续操作，依此类推。
强化学习的过程在 :numref:`fig_rl-environment` 中进行了说明。
请注意，强化学习的目标是产生一个好的*策略*（policy）。
强化学习智能体选择的“动作”受策略控制，即一个从环境观察映射到行动的功能。</t>
  </si>
  <si>
    <t>["P000240"]</t>
  </si>
  <si>
    <t>P000240 section 《动手学深度学习》 &gt; 引言 &gt; 各种机器学习问题 &gt; 强化学习; page 1, chars 31764-32057</t>
  </si>
  <si>
    <t>R05</t>
  </si>
  <si>
    <t>生成对抗网络</t>
  </si>
  <si>
    <t>鉴别器（生成对抗网络）</t>
  </si>
  <si>
    <t>生成对抗网络 --提供组件--&gt; 鉴别器（生成对抗网络）</t>
  </si>
  <si>
    <t>生成对抗网络包含一个作为双样本测试的鉴别器（生成对抗网络），用于调整数据使假数据和真实数据不可区分。</t>
  </si>
  <si>
    <t>R06</t>
  </si>
  <si>
    <t>AlphaGo</t>
  </si>
  <si>
    <t>is_a</t>
  </si>
  <si>
    <t>AlphaGo --是实例--&gt; 强化学习</t>
  </si>
  <si>
    <t>AlphaGo是强化学习在围棋博弈中实现超人性能的具体例子。</t>
  </si>
  <si>
    <t>在围棋博弈领域</t>
  </si>
  <si>
    <t>R07</t>
  </si>
  <si>
    <t>PyTorch</t>
  </si>
  <si>
    <t>基于</t>
  </si>
  <si>
    <t>Chainer</t>
  </si>
  <si>
    <t>PyTorch --基于--&gt; Chainer</t>
  </si>
  <si>
    <t>PyTorch采纳了Chainer率先推出的使用类似Python NumPy语法描述模型的想法。</t>
  </si>
  <si>
    <t>R08</t>
  </si>
  <si>
    <t>深度学习框架</t>
  </si>
  <si>
    <t>深度学习框架 --相比…有优势--&gt; NumPy ndarray</t>
  </si>
  <si>
    <t>深度学习框架（其张量类）比 NumPy ndarray 多两个重要功能：GPU加速计算 和 自动微分。</t>
  </si>
  <si>
    <t>R09</t>
  </si>
  <si>
    <t>广播机制</t>
  </si>
  <si>
    <t>可应用</t>
  </si>
  <si>
    <t>按元素运算</t>
  </si>
  <si>
    <t>广播机制 --可应用--&gt; 按元素运算</t>
  </si>
  <si>
    <t>即使两个张量形状不同，我们仍然可以通过调用广播机制来执行按元素运算</t>
  </si>
  <si>
    <t>在某些情况下，即使两个张量形状不同</t>
  </si>
  <si>
    <t>在上面的部分中，我们看到了如何在相同形状的两个张量上执行按元素操作。
在某些情况下，[**即使形状不同，我们仍然可以通过调用
*广播机制*（broadcasting mechanism）来执行按元素操作**]。
这种机制的工作方式如下：</t>
  </si>
  <si>
    <t>["P000375"]</t>
  </si>
  <si>
    <t>P000375 section 《动手学深度学习》 &gt; 预备知识 &gt; 数据操作 &gt; 广播机制; page 1, chars 51037-51155</t>
  </si>
  <si>
    <t>R10</t>
  </si>
  <si>
    <t>L1 范数</t>
  </si>
  <si>
    <t>是特殊案例</t>
  </si>
  <si>
    <t>L_p 范数</t>
  </si>
  <si>
    <t>L1 范数 --是特殊案例--&gt; L_p 范数</t>
  </si>
  <si>
    <t>L1 范数是更一般的L_p 范数的特例。</t>
  </si>
  <si>
    <t>$L_2$范数和$L_1$范数都是更一般的$L_p$范数的特例：</t>
  </si>
  <si>
    <t>["P000680"]</t>
  </si>
  <si>
    <t>P000680 section 《动手学深度学习》 &gt; 预备知识 &gt; 线性代数 &gt; 范数; page 1, chars 78347-78379</t>
  </si>
  <si>
    <t>R11</t>
  </si>
  <si>
    <t>矩阵分解</t>
  </si>
  <si>
    <t>可泛化为</t>
  </si>
  <si>
    <t>高阶张量</t>
  </si>
  <si>
    <t>矩阵分解 --可泛化为--&gt; 高阶张量</t>
  </si>
  <si>
    <t>矩阵分解可向高阶张量泛化。</t>
  </si>
  <si>
    <t>仅用一节，我们就教会了阅读本书所需的、用以理解现代深度学习的线性代数。
线性代数还有很多，其中很多数学对于机器学习非常有用。
例如，矩阵可以分解为因子，这些分解可以显示真实世界数据集中的低维结构。
机器学习的整个子领域都侧重于使用矩阵分解及其向高阶张量的泛化，来发现数据集中的结构并解决预测问题。
当开始动手尝试并在真实数据集上应用了有效的机器学习模型，你会更倾向于学习更多数学。
因此，这一节到此结束，本书将在后面介绍更多数学知识。</t>
  </si>
  <si>
    <t>["P000692"]</t>
  </si>
  <si>
    <t>P000692 section 《动手学深度学习》 &gt; 预备知识 &gt; 线性代数 &gt; 关于线性代数的更多信息; page 1, chars 79178-79395</t>
  </si>
  <si>
    <t>R12</t>
  </si>
  <si>
    <t>在…中取值</t>
  </si>
  <si>
    <t>随机变量 --在…中取值--&gt; 样本空间</t>
  </si>
  <si>
    <t>随机变量的值在随机实验的样本空间中，例如掷骰子的随机变量X其值在样本空间S={1,2,3,4,5,6}中。</t>
  </si>
  <si>
    <t>在我们掷骰子的随机实验中，我们引入了*随机变量*（random variable）的概念。
随机变量几乎可以是任何数量，并且它可以在随机实验的一组可能性中取一个值。
考虑一个随机变量$X$，其值在掷骰子的样本空间$\mathcal{S}=\{1,2,3,4,5,6\}$中。
我们可以将事件“看到一个$5$”表示为$\{X=5\}$或$X=5$，
其概率表示为$P(\{X=5\})$或$P(X=5)$。
通过$P(X=a)$，我们区分了随机变量$X$和$X$可以采取的值（例如$a$）。
然而，这可能会导致繁琐的表示。
为了简化符号，一方面，我们可以将$P(X)$表示为随机变量$X$上的*分布*（distribution）：
分布告诉我们$X$获得某一值的概率。
另一方面，我们可以简单用$P(a)$表示随机变量取值$a$的概率。
由于概率论中的事件是来自样本空间的一组结果，因此我们可以为随机变量指定值的可取范围。
例如，$P(1 \leq X \leq 3)$表示事件$\{1 \leq X \leq 3\}$，
即$\{X = 1, 2, \text{or}, 3\}$的概率。
等价地，$P(1 \leq X \leq 3)$表示随机变量$X$从$\{1, 2, 3\}$中取值的概率。</t>
  </si>
  <si>
    <t>["P000913"]</t>
  </si>
  <si>
    <t>P000913 section 《动手学深度学习》 &gt; 预备知识 &gt; 概率 &gt; 基本概率论 &gt; 随机变量; page 1, chars 104002-104551</t>
  </si>
  <si>
    <t>R13</t>
  </si>
  <si>
    <t>概率分布</t>
  </si>
  <si>
    <t>是…的概率分配</t>
  </si>
  <si>
    <t>概率分布 --是…的概率分配--&gt; 随机变量</t>
  </si>
  <si>
    <t>随机变量X上的概率分布告诉我们随机变量X获得某一值的概率。</t>
  </si>
  <si>
    <t>随机变量X上</t>
  </si>
  <si>
    <t>R14</t>
  </si>
  <si>
    <t>paddle.distribution</t>
  </si>
  <si>
    <t>提供采样方法</t>
  </si>
  <si>
    <t>paddle.distribution --提供采样方法--&gt; 正态分布</t>
  </si>
  <si>
    <t>根据 dir函数 列出的函数名（如 normal），可以推测 paddle.distribution 提供了从正态分布中采样的方法。</t>
  </si>
  <si>
    <t>R15</t>
  </si>
  <si>
    <t>可视为</t>
  </si>
  <si>
    <t>线性神经网络</t>
  </si>
  <si>
    <t>线性回归 --可视为--&gt; 线性神经网络</t>
  </si>
  <si>
    <t>经典统计学习技术中的线性回归可以视为线性神经网络。</t>
  </si>
  <si>
    <t>经典统计学习技术中</t>
  </si>
  <si>
    <t>在介绍深度神经网络之前，我们需要了解神经网络训练的基础知识。
本章我们将介绍神经网络的整个训练过程，
包括：定义简单的神经网络架构、数据处理、指定损失函数和如何训练模型。
为了更容易学习，我们将从经典算法————*线性*神经网络开始，介绍神经网络的基础知识。
经典统计学习技术中的线性回归和softmax回归可以视为线性神经网络，
这些知识将为本书其他部分中更复杂的技术奠定基础。</t>
  </si>
  <si>
    <t>["P001000"]</t>
  </si>
  <si>
    <t>P001000 section 《动手学深度学习》 &gt; 线性神经网络; page 1, chars 112396-112586</t>
  </si>
  <si>
    <t>R16</t>
  </si>
  <si>
    <t>仿射变换</t>
  </si>
  <si>
    <t>包含</t>
  </si>
  <si>
    <t>平移</t>
  </si>
  <si>
    <t>仿射变换 --包含--&gt; 平移</t>
  </si>
  <si>
    <t>仿射变换通过偏置项进行平移。</t>
  </si>
  <si>
    <t>:eqref:`eq_price-area`中的$w_{\mathrm{area}}$和$w_{\mathrm{age}}$
称为*权重*（weight），权重决定了每个特征对我们预测值的影响。
$b$称为*偏置*（bias）、*偏移量*（offset）或*截距*（intercept）。
偏置是指当所有特征都取值为0时，预测值应该为多少。
即使现实中不会有任何房子的面积是0或房龄正好是0年，我们仍然需要偏置项。
如果没有偏置项，我们模型的表达能力将受到限制。
严格来说， :eqref:`eq_price-area`是输入特征的一个
*仿射变换*（affine transformation）。
仿射变换的特点是通过加权和对特征进行*线性变换*（linear transformation），
并通过偏置项来进行*平移*（translation）。</t>
  </si>
  <si>
    <t>["P001011"]</t>
  </si>
  <si>
    <t>P001011 section 《动手学深度学习》 &gt; 线性神经网络 &gt; 线性回归 &gt; 线性回归的基本元素 &gt; 线性模型; page 1, chars 113680-114056</t>
  </si>
  <si>
    <t>R17</t>
  </si>
  <si>
    <t>具有属性</t>
  </si>
  <si>
    <t>线性回归 --具有属性--&gt; 解析解</t>
  </si>
  <si>
    <t>线性回归的解可以用一个公式简单地表达出来，这类解叫作解析解。</t>
  </si>
  <si>
    <t>线性回归刚好是一个很简单的优化问题。
与我们将在本书中所讲到的其他大部分模型不同，线性回归的解可以用一个公式简单地表达出来，
这类解叫作解析解（analytical solution）。
首先，我们将偏置$b$合并到参数$\mathbf{w}$中，合并方法是在包含所有参数的矩阵中附加一列。
我们的预测问题是最小化$\|\mathbf{y} - \mathbf{X}\mathbf{w}\|^2$。
这在损失平面上只有一个临界点，这个临界点对应于整个区域的损失极小点。
将损失关于$\mathbf{w}$的导数设为0，得到解析解：</t>
  </si>
  <si>
    <t>["P001033"]</t>
  </si>
  <si>
    <t>P001033 section 《动手学深度学习》 &gt; 线性神经网络 &gt; 线性回归 &gt; 线性回归的基本元素 &gt; 解析解; page 1, chars 116258-116523</t>
  </si>
  <si>
    <t>R18</t>
  </si>
  <si>
    <t>最大化</t>
  </si>
  <si>
    <t>似然</t>
  </si>
  <si>
    <t>极大似然估计 --最大化--&gt; 似然</t>
  </si>
  <si>
    <t>根据极大似然估计法，参数的最优值是使整个数据集的似然最大的值</t>
  </si>
  <si>
    <t>现在，根据极大似然估计法，参数$\mathbf{w}$和$b$的最优值是使整个数据集的*似然*最大的值：
根据极大似然估计法选择的估计量称为*极大似然估计量*。
虽然使许多指数函数的乘积最大化看起来很困难，
但是我们可以在不改变目标的前提下，通过最大化似然对数来简化。
由于历史原因，优化通常是说最小化而不是最大化。
我们可以改为*最小化负对数似然*$-\log P(\mathbf y \mid \mathbf X)$。
由此可以得到的数学公式是：</t>
  </si>
  <si>
    <t>["P001090", "P001092"]</t>
  </si>
  <si>
    <t>P001090 section 《动手学深度学习》 &gt; 线性神经网络 &gt; 线性回归 &gt; 正态分布与平方损失; page 1, chars 122947-122999; P001092 section 《动手学深度学习》 &gt; 线性神经网络 &gt; 线性回归 &gt; 正态分布与平方损失; page 1, chars 123081-123253</t>
  </si>
  <si>
    <t>R19</t>
  </si>
  <si>
    <t>不限于</t>
  </si>
  <si>
    <t>线性模型</t>
  </si>
  <si>
    <t>神经网络 --不限于--&gt; 线性模型</t>
  </si>
  <si>
    <t>神经网络涵盖了比线性模型更多更为丰富的模型。</t>
  </si>
  <si>
    <t>到目前为止，我们只谈论了线性模型。
尽管神经网络涵盖了更多更为丰富的模型，我们依然可以用描述神经网络的方式来描述线性模型，
从而把线性模型看作一个神经网络。
首先，我们用“层”符号来重写这个模型。</t>
  </si>
  <si>
    <t>["P001096"]</t>
  </si>
  <si>
    <t>P001096 section 《动手学深度学习》 &gt; 线性神经网络 &gt; 线性回归 &gt; 从线性回归到深度网络; page 1, chars 123621-123719</t>
  </si>
  <si>
    <t>R20</t>
  </si>
  <si>
    <t>生物神经元</t>
  </si>
  <si>
    <t>树突</t>
  </si>
  <si>
    <t>生物神经元 --包含--&gt; 树突</t>
  </si>
  <si>
    <t>"生物神经元"图片由"树突"（dendrites，输入终端）和"细胞核"等组成。</t>
  </si>
  <si>
    <t>线性回归发明的时间（1795年）早于计算神经科学，所以将线性回归描述为神经网络似乎不合适。
当控制学家、神经生物学家沃伦·麦库洛奇和沃尔特·皮茨开始开发人工神经元模型时，
他们为什么将线性模型作为一个起点呢？
我们来看一张图片 :numref:`fig_Neuron`：
这是一张由*树突*（dendrites，输入终端）、
*细胞核*（nucleus，CPU）组成的生物神经元图片。
*轴突*（axon，输出线）和*轴突端子*（axon terminal，输出端子）
通过*突触*（synapse）与其他神经元连接。</t>
  </si>
  <si>
    <t>["P001103"]</t>
  </si>
  <si>
    <t>P001103 section 《动手学深度学习》 &gt; 线性神经网络 &gt; 线性回归 &gt; 从线性回归到深度网络 &gt; 生物学; page 1, chars 124363-124622</t>
  </si>
  <si>
    <t>R21</t>
  </si>
  <si>
    <t>GPU并行计算</t>
  </si>
  <si>
    <t>GPU并行计算 --处理--&gt; 小批量（深度学习）</t>
  </si>
  <si>
    <t>利用GPU并行计算的优势处理合理大小的"小批量（深度学习）"，每个样本的模型计算和损失函数梯度都可以被并行计算，GPU在处理几百个样本时花费的时间不比处理一个样本多太多。</t>
  </si>
  <si>
    <t>处理合理大小（约几百个样本）的小批量（深度学习）</t>
  </si>
  <si>
    <t>通常，我们利用GPU并行运算的优势，处理合理大小的“小批量”。
每个样本都可以并行地进行模型计算，且每个样本损失函数的梯度也可以被并行计算。
GPU可以在处理几百个样本时，所花费的时间不比处理一个样本时多太多。</t>
  </si>
  <si>
    <t>["P001139"]</t>
  </si>
  <si>
    <t>P001139 section 《动手学深度学习》 &gt; 线性神经网络 &gt; 线性回归的从零开始实现 &gt; 读取数据集; page 1, chars 129608-129713</t>
  </si>
  <si>
    <t>R22</t>
  </si>
  <si>
    <t>矩阵-向量积</t>
  </si>
  <si>
    <t>线性模型 --使用--&gt; 矩阵-向量积</t>
  </si>
  <si>
    <t>线性模型的输出通过计算输入特征和模型权重的矩阵-向量积后加上偏置得到。</t>
  </si>
  <si>
    <t>接下来，我们必须[**定义模型，将模型的输入和参数同模型的输出关联起来。**]
回想一下，要计算线性模型的输出，
我们只需计算输入特征$\mathbf{X}$和模型权重$\mathbf{w}$的矩阵-向量乘法后加上偏置$b$。
注意，上面的$\mathbf{Xw}$是一个向量，而$b$是一个标量。
回想一下 :numref:`subsec_broadcasting`中描述的广播机制：
当我们用一个向量加一个标量时，标量会被加到向量的每个分量上。</t>
  </si>
  <si>
    <t>["P001152"]</t>
  </si>
  <si>
    <t>P001152 section 《动手学深度学习》 &gt; 线性神经网络 &gt; 线性回归的从零开始实现 &gt; 定义模型; page 1, chars 131040-131264</t>
  </si>
  <si>
    <t>R23</t>
  </si>
  <si>
    <t>Keras</t>
  </si>
  <si>
    <t>kernel_initializer（Keras 层参数）</t>
  </si>
  <si>
    <t>Keras --使用--&gt; kernel_initializer（Keras 层参数）</t>
  </si>
  <si>
    <t>在Keras中，指定初始化方法的最简单方式是在创建层时指定kernel_initializer（Keras 层参数）</t>
  </si>
  <si>
    <t>:begin_tab:`tensorflow`
TensorFlow中的`initializers`模块提供了多种模型参数初始化方法。
在Keras中最简单的指定初始化方法是在创建层时指定`kernel_initializer`。
在这里，我们重新创建了`net`。
:end_tab:</t>
  </si>
  <si>
    <t>["P001222"]</t>
  </si>
  <si>
    <t>P001222 section 《动手学深度学习》 &gt; 线性神经网络 &gt; 线性回归的简洁实现 &gt; (**初始化模型参数**); page 1, chars 141505-141648</t>
  </si>
  <si>
    <t>R24</t>
  </si>
  <si>
    <t>选择模型</t>
  </si>
  <si>
    <t>是基础</t>
  </si>
  <si>
    <t>softmax函数</t>
  </si>
  <si>
    <t>选择模型 --是基础--&gt; softmax函数</t>
  </si>
  <si>
    <t>选择模型是softmax函数的理论基础。</t>
  </si>
  <si>
    <t>邓肯·卢斯于1959年提出softmax函数时</t>
  </si>
  <si>
    <t>社会科学家邓肯·卢斯于1959年在*选择模型*（choice model）的理论基础上
发明的*softmax函数*正是这样做的：
softmax函数能够将未规范化的预测变换为非负数并且总和为1，同时让模型保持
可导的性质。
为了完成这一目标，我们首先对每个未规范化的预测求幂，这样可以确保输出非负。
为了确保最终输出的概率值总和为1，我们再让每个求幂后的结果除以它们的总和。如下式：</t>
  </si>
  <si>
    <t>["P001298"]</t>
  </si>
  <si>
    <t>P001298 section 《动手学深度学习》 &gt; 线性神经网络 &gt; softmax回归 &gt; softmax运算; page 1, chars 151289-151481</t>
  </si>
  <si>
    <t>R25</t>
  </si>
  <si>
    <t>softmax函数 --处理--&gt; logit（未规范化的预测）</t>
  </si>
  <si>
    <t>softmax函数对logit（未规范化的预测） O 按行（rowwise）执行：对 O 的每一行先进行幂运算，然后通过求和进行标准化。</t>
  </si>
  <si>
    <t>相对于一次处理一个样本，
小批量样本的矢量化加快了$\mathbf{X}和\mathbf{W}$的矩阵-向量乘法。
由于$\mathbf{X}$中的每一行代表一个数据样本，
那么softmax运算可以*按行*（rowwise）执行：
对于$\mathbf{O}$的每一行，我们先对所有项进行幂运算，然后通过求和对它们进行标准化。
在 :eqref:`eq_minibatch_softmax_reg`中，
$\mathbf{X} \mathbf{W} + \mathbf{b}$的求和会使用广播机制，
小批量的未规范化预测$\mathbf{O}$和输出概率$\hat{\mathbf{Y}}$
都是形状为$n \times q$的矩阵。</t>
  </si>
  <si>
    <t>["P001306"]</t>
  </si>
  <si>
    <t>P001306 section 《动手学深度学习》 &gt; 线性神经网络 &gt; softmax回归 &gt; 小批量样本的矢量化; page 1, chars 152360-152678</t>
  </si>
  <si>
    <t>R26</t>
  </si>
  <si>
    <t>条件概率</t>
  </si>
  <si>
    <t>蕴含</t>
  </si>
  <si>
    <t>交叉熵</t>
  </si>
  <si>
    <t>条件概率 --蕴含--&gt; 交叉熵</t>
  </si>
  <si>
    <t>当实际标签的条件概率P(y|x)=1时，交叉熵损失不能进一步最小化（达到最小下限）。</t>
  </si>
  <si>
    <t>在本节稍后的内容会讲到， :eqref:`eq_l_cross_entropy`中的损失函数
通常被称为*交叉熵损失*（cross-entropy loss）。
由于$\mathbf{y}$是一个长度为$q$的独热编码向量，
所以除了一个项以外的所有项$j$都消失了。
由于所有$\hat{y}_j$都是预测的概率，所以它们的对数永远不会大于$0$。
因此，如果正确地预测实际标签，即如果实际标签$P(\mathbf{y} \mid \mathbf{x})=1$，
则损失函数不能进一步最小化。
注意，这往往是不可能的。
例如，数据集中可能存在标签噪声（比如某些样本可能被误标），
或输入特征没有足够的信息来完美地对每一个样本分类。</t>
  </si>
  <si>
    <t>["P001316"]</t>
  </si>
  <si>
    <t>P001316 section 《动手学深度学习》 &gt; 线性神经网络 &gt; softmax回归 &gt; 损失函数 &gt; 对数似然; page 1, chars 153514-153830</t>
  </si>
  <si>
    <t>R27</t>
  </si>
  <si>
    <t>概率</t>
  </si>
  <si>
    <t>与...负相关</t>
  </si>
  <si>
    <t>信息量（自信息）</t>
  </si>
  <si>
    <t>概率 --与...负相关--&gt; 信息量（自信息）</t>
  </si>
  <si>
    <t>当我们赋予一个事件较低的概率时，我们的信息量（自信息）会更大</t>
  </si>
  <si>
    <t>赋予一个事件较低的概率时</t>
  </si>
  <si>
    <t>但是，如果我们不能完全预测每一个事件，那么我们有时可能会感到"惊异"。
克劳德·香农决定用信息量$\log \frac{1}{P(j)} = -\log P(j)$来量化这种惊异程度。
在观察一个事件$j$时，并赋予它（主观）概率$P(j)$。
当我们赋予一个事件较低的概率时，我们的惊异会更大，该事件的信息量也就更大。
在 :eqref:`eq_softmax_reg_entropy`中定义的熵，
是当分配的概率真正匹配数据生成过程时的*信息量的期望*。</t>
  </si>
  <si>
    <t>["P001333"]</t>
  </si>
  <si>
    <t>P001333 section 《动手学深度学习》 &gt; 线性神经网络 &gt; softmax回归 &gt; 信息论基础 &gt; 信息量; page 1, chars 155597-155826</t>
  </si>
  <si>
    <t>R28</t>
  </si>
  <si>
    <t>训练（机器学习） --使用--&gt; 优化算法</t>
  </si>
  <si>
    <t>训练softmax回归循环模型与训练线性回归模型非常相似：先读取数据，再定义模型和损失函数，然后使用优化算法训练模型；大多数常见的深度学习模型都有类似的训练（机器学习）。</t>
  </si>
  <si>
    <t>* 借助softmax回归，我们可以训练多分类的模型。
* 训练softmax回归循环模型与训练线性回归模型非常相似：先读取数据，再定义模型和损失函数，然后使用优化算法训练模型。大多数常见的深度学习模型都有类似的训练过程。</t>
  </si>
  <si>
    <t>["P001501"]</t>
  </si>
  <si>
    <t>P001501 section 《动手学深度学习》 &gt; 线性神经网络 &gt; softmax回归的从零开始实现 &gt; 小结; page 1, chars 184162-184273</t>
  </si>
  <si>
    <t>R29</t>
  </si>
  <si>
    <t>隐藏层表示</t>
  </si>
  <si>
    <t>是输出</t>
  </si>
  <si>
    <t>隐藏层表示 --是输出--&gt; 隐藏层</t>
  </si>
  <si>
    <t>在单隐藏层多层感知机中，用 H ∈ ℝ^{n×h} 表示的隐藏层输出称为隐藏层表示（hidden representations）。</t>
  </si>
  <si>
    <t>单隐藏层多层感知机中</t>
  </si>
  <si>
    <t>R30</t>
  </si>
  <si>
    <t>单隐藏层多层感知机</t>
  </si>
  <si>
    <t>在特定条件下可化简为</t>
  </si>
  <si>
    <t>单隐藏层多层感知机 --在特定条件下可化简为--&gt; 仿射变换</t>
  </si>
  <si>
    <t>若单隐藏层多层感知机的隐藏单元仅由输入的仿射变换给出，且输出仅是隐藏单元的仿射变换，则该模型等价于一个具有单层仿射变换参数 W = W^{(1)}W^{(2)}、b = b^{(1)}W^{(2)} + b^{(2)} 的单层模型。</t>
  </si>
  <si>
    <t>仅含仿射变换（不施加激活函数）时</t>
  </si>
  <si>
    <t>注意在添加隐藏层之后，模型现在需要跟踪和更新额外的参数。
可我们能从中得到什么好处呢？在上面定义的模型里，我们没有好处！
原因很简单：上面的隐藏单元由输入的仿射函数给出，
而输出（softmax操作前）只是隐藏单元的仿射函数。
仿射函数的仿射函数本身就是仿射函数，
但是我们之前的线性模型已经能够表示任何仿射函数。
我们可以证明这一等价性，即对于任意权重值，
我们只需合并隐藏层，便可产生具有参数
$\mathbf{W} = \mathbf{W}^{(1)}\mathbf{W}^{(2)}$
和$\mathbf{b} = \mathbf{b}^{(1)} \mathbf{W}^{(2)} + \mathbf{b}^{(2)}$
的等价单层模型：
$$
\mathbf{O} = (\mathbf{X} \mathbf{W}^{(1)} + \mathbf{b}^{(1)})\mathbf{W}^{(2)} + \mathbf{b}^{(2)} = \mathbf{X} \mathbf{W}^{(1)}\mathbf{W}^{(2)} + \mathbf{b}^{(1)} \mathbf{W}^{(2)} + \mathbf{b}^{(2)} = \mathbf{X} \mathbf{W} + \mathbf{b}.
$$</t>
  </si>
  <si>
    <t>["P001574", "P001575", "P001576"]</t>
  </si>
  <si>
    <t>P001574 section 《动手学深度学习》 &gt; 多层感知机 &gt; 多层感知机 &gt; 隐藏层 &gt; 从线性到非线性; page 1, chars 192865-193022; P001575 section 《动手学深度学习》 &gt; 多层感知机 &gt; 多层感知机 &gt; 隐藏层 &gt; 从线性到非线性; page 1, chars 193024-193190; P001576 section 《动手学深度学习》 &gt; 多层感知机 &gt; 多层感知机 &gt; 隐藏层 &gt; 从线性到非线性; page 1, chars 193192-193433</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</si>
</sst>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27">
    <font>
      <sz val="11"/>
      <name val="Carlito"/>
      <charset val="134"/>
    </font>
    <font>
      <b/>
      <sz val="16"/>
      <color rgb="FFFFFFFF"/>
      <name val="Carlito"/>
      <charset val="134"/>
    </font>
    <font>
      <i/>
      <sz val="11"/>
      <color rgb="FF243746"/>
      <name val="Carlito"/>
      <charset val="134"/>
    </font>
    <font>
      <b/>
      <sz val="11"/>
      <color rgb="FFFFFFFF"/>
      <name val="Carlito"/>
      <charset val="134"/>
    </font>
    <font>
      <sz val="10"/>
      <color rgb="FF243746"/>
      <name val="Carlito"/>
      <charset val="134"/>
    </font>
    <font>
      <sz val="10"/>
      <color rgb="FF243746"/>
      <name val="宋体"/>
      <charset val="134"/>
    </font>
    <font>
      <b/>
      <sz val="11"/>
      <color rgb="FF243746"/>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17324D"/>
        <bgColor indexed="64"/>
      </patternFill>
    </fill>
    <fill>
      <patternFill patternType="solid">
        <fgColor rgb="FFDCEFF1"/>
        <bgColor indexed="64"/>
      </patternFill>
    </fill>
    <fill>
      <patternFill patternType="solid">
        <fgColor rgb="FF1F6F78"/>
        <bgColor indexed="64"/>
      </patternFill>
    </fill>
    <fill>
      <patternFill patternType="solid">
        <fgColor rgb="FFFFF4CC"/>
        <bgColor indexed="64"/>
      </patternFill>
    </fill>
    <fill>
      <patternFill patternType="solid">
        <fgColor rgb="FFEAF1F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right style="thin">
        <color rgb="FFCAD3DC"/>
      </right>
      <top/>
      <bottom/>
      <diagonal/>
    </border>
    <border>
      <left style="thin">
        <color rgb="FFCAD3DC"/>
      </left>
      <right style="thin">
        <color rgb="FFCAD3DC"/>
      </right>
      <top/>
      <bottom/>
      <diagonal/>
    </border>
    <border>
      <left style="thin">
        <color rgb="FFCAD3DC"/>
      </left>
      <right/>
      <top/>
      <bottom/>
      <diagonal/>
    </border>
    <border>
      <left style="thin">
        <color rgb="FFCAD3DC"/>
      </left>
      <right style="thin">
        <color rgb="FFCAD3DC"/>
      </right>
      <top style="thin">
        <color rgb="FFCAD3DC"/>
      </top>
      <bottom style="thin">
        <color rgb="FFCAD3D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7" fillId="0" borderId="0">
      <alignment vertical="center"/>
    </xf>
    <xf numFmtId="176"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177"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7" borderId="5"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6" fillId="8" borderId="8" applyNumberFormat="0" applyAlignment="0" applyProtection="0">
      <alignment vertical="center"/>
    </xf>
    <xf numFmtId="0" fontId="17" fillId="9" borderId="9" applyNumberFormat="0" applyAlignment="0" applyProtection="0">
      <alignment vertical="center"/>
    </xf>
    <xf numFmtId="0" fontId="18" fillId="9" borderId="8" applyNumberFormat="0" applyAlignment="0" applyProtection="0">
      <alignment vertical="center"/>
    </xf>
    <xf numFmtId="0" fontId="19" fillId="10" borderId="10" applyNumberFormat="0" applyAlignment="0" applyProtection="0">
      <alignment vertical="center"/>
    </xf>
    <xf numFmtId="0" fontId="20" fillId="0" borderId="11" applyNumberFormat="0" applyFill="0" applyAlignment="0" applyProtection="0">
      <alignment vertical="center"/>
    </xf>
    <xf numFmtId="0" fontId="21" fillId="0" borderId="12"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6"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6"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6" fillId="23" borderId="0" applyNumberFormat="0" applyBorder="0" applyAlignment="0" applyProtection="0">
      <alignment vertical="center"/>
    </xf>
    <xf numFmtId="0" fontId="26"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6" fillId="27" borderId="0" applyNumberFormat="0" applyBorder="0" applyAlignment="0" applyProtection="0">
      <alignment vertical="center"/>
    </xf>
    <xf numFmtId="0" fontId="26"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6" fillId="31" borderId="0" applyNumberFormat="0" applyBorder="0" applyAlignment="0" applyProtection="0">
      <alignment vertical="center"/>
    </xf>
    <xf numFmtId="0" fontId="26"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6" fillId="35" borderId="0" applyNumberFormat="0" applyBorder="0" applyAlignment="0" applyProtection="0">
      <alignment vertical="center"/>
    </xf>
    <xf numFmtId="0" fontId="26" fillId="36" borderId="0" applyNumberFormat="0" applyBorder="0" applyAlignment="0" applyProtection="0">
      <alignment vertical="center"/>
    </xf>
    <xf numFmtId="0" fontId="25" fillId="37" borderId="0" applyNumberFormat="0" applyBorder="0" applyAlignment="0" applyProtection="0">
      <alignment vertical="center"/>
    </xf>
    <xf numFmtId="0" fontId="0" fillId="0" borderId="0"/>
  </cellStyleXfs>
  <cellXfs count="17">
    <xf numFmtId="0" fontId="0" fillId="0" borderId="0" xfId="49"/>
    <xf numFmtId="0" fontId="1" fillId="2" borderId="0" xfId="49" applyNumberFormat="1" applyFont="1" applyFill="1" applyBorder="1" applyAlignment="1">
      <alignment vertical="center"/>
    </xf>
    <xf numFmtId="0" fontId="2" fillId="3" borderId="0" xfId="49" applyNumberFormat="1" applyFont="1" applyFill="1" applyBorder="1" applyAlignment="1">
      <alignment vertical="center" wrapText="1"/>
    </xf>
    <xf numFmtId="0" fontId="3" fillId="4" borderId="1" xfId="49" applyNumberFormat="1" applyFont="1" applyFill="1" applyBorder="1" applyAlignment="1">
      <alignment vertical="center" wrapText="1"/>
    </xf>
    <xf numFmtId="0" fontId="3" fillId="4" borderId="2" xfId="49" applyNumberFormat="1" applyFont="1" applyFill="1" applyBorder="1" applyAlignment="1">
      <alignment vertical="center" wrapText="1"/>
    </xf>
    <xf numFmtId="0" fontId="4" fillId="0" borderId="0" xfId="49" applyNumberFormat="1" applyFont="1" applyFill="1" applyBorder="1" applyAlignment="1">
      <alignment vertical="top" wrapText="1"/>
    </xf>
    <xf numFmtId="0" fontId="4" fillId="5" borderId="0" xfId="49" applyNumberFormat="1" applyFont="1" applyFill="1" applyBorder="1" applyAlignment="1">
      <alignment vertical="top" wrapText="1"/>
    </xf>
    <xf numFmtId="0" fontId="3" fillId="4" borderId="3" xfId="49" applyNumberFormat="1" applyFont="1" applyFill="1" applyBorder="1" applyAlignment="1">
      <alignment vertical="center" wrapText="1"/>
    </xf>
    <xf numFmtId="0" fontId="5" fillId="5" borderId="0" xfId="49" applyNumberFormat="1" applyFont="1" applyFill="1" applyBorder="1" applyAlignment="1">
      <alignment vertical="top" wrapText="1"/>
    </xf>
    <xf numFmtId="0" fontId="6" fillId="6" borderId="0" xfId="49" applyNumberFormat="1" applyFont="1" applyFill="1" applyBorder="1" applyAlignment="1">
      <alignment wrapText="1"/>
    </xf>
    <xf numFmtId="0" fontId="0" fillId="0" borderId="0" xfId="49" applyNumberFormat="1" applyFont="1" applyFill="1" applyBorder="1" applyAlignment="1">
      <alignment wrapText="1"/>
    </xf>
    <xf numFmtId="0" fontId="3" fillId="4" borderId="4" xfId="49" applyNumberFormat="1" applyFont="1" applyFill="1" applyBorder="1" applyAlignment="1">
      <alignment vertical="center" wrapText="1"/>
    </xf>
    <xf numFmtId="0" fontId="4" fillId="0" borderId="4" xfId="49" applyNumberFormat="1" applyFont="1" applyFill="1" applyBorder="1" applyAlignment="1">
      <alignment vertical="top" wrapText="1"/>
    </xf>
    <xf numFmtId="178" fontId="4" fillId="0" borderId="4" xfId="49" applyNumberFormat="1" applyFont="1" applyFill="1" applyBorder="1" applyAlignment="1">
      <alignment vertical="top" wrapText="1"/>
    </xf>
    <xf numFmtId="0" fontId="3" fillId="4" borderId="0" xfId="49" applyNumberFormat="1" applyFont="1" applyFill="1" applyBorder="1"/>
    <xf numFmtId="0" fontId="6" fillId="6" borderId="0" xfId="49" applyNumberFormat="1" applyFont="1" applyFill="1" applyBorder="1" applyAlignment="1">
      <alignment vertical="top" wrapText="1"/>
    </xf>
    <xf numFmtId="0" fontId="0" fillId="0" borderId="0"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ont>
        <b val="1"/>
        <color rgb="FF166534"/>
      </font>
      <fill>
        <patternFill patternType="solid">
          <bgColor rgb="FFDCFCE7"/>
        </patternFill>
      </fill>
    </dxf>
    <dxf>
      <font>
        <b val="1"/>
        <color rgb="FF991B1B"/>
      </font>
      <fill>
        <patternFill patternType="solid">
          <bgColor rgb="FFFEE2E2"/>
        </patternFill>
      </fill>
    </dxf>
    <dxf>
      <font>
        <b val="1"/>
        <color rgb="FF92400E"/>
      </font>
      <fill>
        <patternFill patternType="solid">
          <bgColor rgb="FFFEF3C7"/>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1" name="EntityAuditTable" displayName="EntityAuditTable" ref="A3:R33" totalsRowShown="0">
  <tableColumns count="18">
    <tableColumn id="1" name="样本ID"/>
    <tableColumn id="2" name="Entity ID"/>
    <tableColumn id="3" name="规范名"/>
    <tableColumn id="4" name="规范定义"/>
    <tableColumn id="5" name="全局别名"/>
    <tableColumn id="6" name="类型画像"/>
    <tableColumn id="7" name="观察数"/>
    <tableColumn id="8" name="Chunk"/>
    <tableColumn id="9" name="本次观察名"/>
    <tableColumn id="10" name="观察定义"/>
    <tableColumn id="11" name="Passage IDs"/>
    <tableColumn id="12" name="来源位置"/>
    <tableColumn id="13" name="原文证据"/>
    <tableColumn id="14" name="模型引文"/>
    <tableColumn id="15" name="人工结论"/>
    <tableColumn id="16" name="错误类型"/>
    <tableColumn id="17" name="建议修正"/>
    <tableColumn id="18" name="备注"/>
  </tableColumns>
  <tableStyleInfo name="TableStyleMedium2" showFirstColumn="0" showLastColumn="0" showRowStripes="1" showColumnStripes="0"/>
</table>
</file>

<file path=xl/tables/table2.xml><?xml version="1.0" encoding="utf-8"?>
<table xmlns="http://schemas.openxmlformats.org/spreadsheetml/2006/main" id="2" name="AssertionAuditTable" displayName="AssertionAuditTable" ref="A3:S33" totalsRowShown="0">
  <tableColumns count="19">
    <tableColumn id="1" name="样本ID"/>
    <tableColumn id="2" name="Assertion ID"/>
    <tableColumn id="3" name="Claim ID"/>
    <tableColumn id="4" name="Subject"/>
    <tableColumn id="5" name="Relation"/>
    <tableColumn id="6" name="Object"/>
    <tableColumn id="7" name="完整Assertion"/>
    <tableColumn id="8" name="Scope"/>
    <tableColumn id="9" name="限制性Scope"/>
    <tableColumn id="10" name="极性"/>
    <tableColumn id="11" name="Chunk"/>
    <tableColumn id="12" name="Passage IDs"/>
    <tableColumn id="13" name="来源位置"/>
    <tableColumn id="14" name="原文证据"/>
    <tableColumn id="15" name="模型引文"/>
    <tableColumn id="16" name="人工结论"/>
    <tableColumn id="17" name="错误类型"/>
    <tableColumn id="18" name="建议修正"/>
    <tableColumn id="19" name="备注"/>
  </tableColumns>
  <tableStyleInfo name="TableStyleMedium2" showFirstColumn="0" showLastColumn="0" showRowStripes="1" showColumnStripes="0"/>
</table>
</file>

<file path=xl/tables/table3.xml><?xml version="1.0" encoding="utf-8"?>
<table xmlns="http://schemas.openxmlformats.org/spreadsheetml/2006/main" id="3" name="RelationMappingAuditTable" displayName="RelationMappingAuditTable" ref="A3:S33" totalsRowShown="0">
  <tableColumns count="19">
    <tableColumn id="1" name="样本ID"/>
    <tableColumn id="2" name="Claim ID"/>
    <tableColumn id="3" name="Assertion ID"/>
    <tableColumn id="4" name="Subject"/>
    <tableColumn id="5" name="Relation"/>
    <tableColumn id="6" name="Relation Kind"/>
    <tableColumn id="7" name="Object"/>
    <tableColumn id="8" name="Claim二元边"/>
    <tableColumn id="9" name="对应Assertion"/>
    <tableColumn id="10" name="Scope"/>
    <tableColumn id="11" name="限制性Scope"/>
    <tableColumn id="12" name="Chunk"/>
    <tableColumn id="13" name="原文证据"/>
    <tableColumn id="14" name="Passage IDs"/>
    <tableColumn id="15" name="来源位置"/>
    <tableColumn id="16" name="映射结论"/>
    <tableColumn id="17" name="错误类型"/>
    <tableColumn id="18" name="建议修正"/>
    <tableColumn id="19" name="备注"/>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9"/>
  <sheetViews>
    <sheetView showGridLines="0" workbookViewId="0">
      <selection activeCell="A1" sqref="A1:H1"/>
    </sheetView>
  </sheetViews>
  <sheetFormatPr defaultColWidth="9" defaultRowHeight="14" outlineLevelCol="7"/>
  <cols>
    <col min="1" max="1" width="20" customWidth="1"/>
    <col min="2" max="2" width="28" customWidth="1"/>
    <col min="3" max="4" width="14" customWidth="1"/>
    <col min="5" max="5" width="16" customWidth="1"/>
    <col min="6" max="8" width="14" customWidth="1"/>
  </cols>
  <sheetData>
    <row r="1" ht="34" customHeight="1" spans="1:8">
      <c r="A1" s="1" t="s">
        <v>0</v>
      </c>
      <c r="B1" s="1"/>
      <c r="C1" s="1"/>
      <c r="D1" s="1"/>
      <c r="E1" s="1"/>
      <c r="F1" s="1"/>
      <c r="G1" s="1"/>
      <c r="H1" s="1"/>
    </row>
    <row r="3" ht="28" spans="1:2">
      <c r="A3" s="9" t="s">
        <v>1</v>
      </c>
      <c r="B3" s="10" t="s">
        <v>2</v>
      </c>
    </row>
    <row r="4" spans="1:2">
      <c r="A4" s="9" t="s">
        <v>3</v>
      </c>
      <c r="B4" s="10">
        <v>20260817</v>
      </c>
    </row>
    <row r="5" spans="1:2">
      <c r="A5" s="9" t="s">
        <v>4</v>
      </c>
      <c r="B5" s="10" t="s">
        <v>5</v>
      </c>
    </row>
    <row r="6" spans="1:2">
      <c r="A6" s="9" t="s">
        <v>6</v>
      </c>
      <c r="B6" s="10" t="s">
        <v>7</v>
      </c>
    </row>
    <row r="7" spans="1:2">
      <c r="A7" s="9" t="s">
        <v>8</v>
      </c>
      <c r="B7" s="10" t="s">
        <v>7</v>
      </c>
    </row>
    <row r="9" spans="1:8">
      <c r="A9" s="11" t="s">
        <v>9</v>
      </c>
      <c r="B9" s="11" t="s">
        <v>10</v>
      </c>
      <c r="C9" s="11" t="s">
        <v>11</v>
      </c>
      <c r="D9" s="11" t="s">
        <v>12</v>
      </c>
      <c r="E9" s="11" t="s">
        <v>13</v>
      </c>
      <c r="F9" s="11" t="s">
        <v>14</v>
      </c>
      <c r="G9" s="11" t="s">
        <v>15</v>
      </c>
      <c r="H9" s="11" t="s">
        <v>16</v>
      </c>
    </row>
    <row r="10" spans="1:8">
      <c r="A10" s="12" t="s">
        <v>17</v>
      </c>
      <c r="B10" s="12">
        <v>603</v>
      </c>
      <c r="C10" s="12">
        <v>30</v>
      </c>
      <c r="D10" s="12">
        <f>COUNTIF(Entity审计!$O$4:$O$33,"合格")</f>
        <v>7</v>
      </c>
      <c r="E10" s="12">
        <f>COUNTIF(Entity审计!$O$4:$O$33,"不合格")</f>
        <v>2</v>
      </c>
      <c r="F10" s="12">
        <f>COUNTIF(Entity审计!$O$4:$O$33,"不确定")</f>
        <v>0</v>
      </c>
      <c r="G10" s="13">
        <f>SUM(D10:F10)/C10</f>
        <v>0.3</v>
      </c>
      <c r="H10" s="13">
        <f>IF(D10+E10=0,"",D10/(D10+E10))</f>
        <v>0.777777777777778</v>
      </c>
    </row>
    <row r="11" spans="1:8">
      <c r="A11" s="12" t="s">
        <v>18</v>
      </c>
      <c r="B11" s="12">
        <v>625</v>
      </c>
      <c r="C11" s="12">
        <v>30</v>
      </c>
      <c r="D11" s="12">
        <f>COUNTIF(Assertion审计!$P$4:$P$33,"合格")</f>
        <v>0</v>
      </c>
      <c r="E11" s="12">
        <f>COUNTIF(Assertion审计!$P$4:$P$33,"不合格")</f>
        <v>0</v>
      </c>
      <c r="F11" s="12">
        <f>COUNTIF(Assertion审计!$P$4:$P$33,"不确定")</f>
        <v>0</v>
      </c>
      <c r="G11" s="13">
        <f>SUM(D11:F11)/C11</f>
        <v>0</v>
      </c>
      <c r="H11" s="13" t="str">
        <f>IF(D11+E11=0,"",D11/(D11+E11))</f>
        <v/>
      </c>
    </row>
    <row r="12" spans="1:8">
      <c r="A12" s="12" t="s">
        <v>19</v>
      </c>
      <c r="B12" s="12">
        <v>625</v>
      </c>
      <c r="C12" s="12">
        <v>30</v>
      </c>
      <c r="D12" s="12">
        <f>COUNTIF(二元关系映射!$P$4:$P$33,"一致")</f>
        <v>0</v>
      </c>
      <c r="E12" s="12">
        <f>COUNTIF(二元关系映射!$P$4:$P$33,"不一致")</f>
        <v>0</v>
      </c>
      <c r="F12" s="12">
        <f>COUNTIF(二元关系映射!$P$4:$P$33,"不确定")</f>
        <v>0</v>
      </c>
      <c r="G12" s="13">
        <f>SUM(D12:F12)/C12</f>
        <v>0</v>
      </c>
      <c r="H12" s="13" t="str">
        <f>IF(D12+E12=0,"",D12/(D12+E12))</f>
        <v/>
      </c>
    </row>
    <row r="14" spans="1:8">
      <c r="A14" s="14" t="s">
        <v>20</v>
      </c>
      <c r="B14" s="14"/>
      <c r="C14" s="14"/>
      <c r="D14" s="14"/>
      <c r="E14" s="14"/>
      <c r="F14" s="14"/>
      <c r="G14" s="14"/>
      <c r="H14" s="14"/>
    </row>
    <row r="15" ht="42" customHeight="1" spans="1:8">
      <c r="A15" s="15" t="s">
        <v>17</v>
      </c>
      <c r="B15" s="16" t="s">
        <v>21</v>
      </c>
      <c r="C15" s="16"/>
      <c r="D15" s="16"/>
      <c r="E15" s="16"/>
      <c r="F15" s="16"/>
      <c r="G15" s="16"/>
      <c r="H15" s="16"/>
    </row>
    <row r="16" ht="42" customHeight="1" spans="1:8">
      <c r="A16" s="15" t="s">
        <v>18</v>
      </c>
      <c r="B16" s="16" t="s">
        <v>22</v>
      </c>
      <c r="C16" s="16"/>
      <c r="D16" s="16"/>
      <c r="E16" s="16"/>
      <c r="F16" s="16"/>
      <c r="G16" s="16"/>
      <c r="H16" s="16"/>
    </row>
    <row r="17" ht="42" customHeight="1" spans="1:8">
      <c r="A17" s="15" t="s">
        <v>23</v>
      </c>
      <c r="B17" s="16" t="s">
        <v>24</v>
      </c>
      <c r="C17" s="16"/>
      <c r="D17" s="16"/>
      <c r="E17" s="16"/>
      <c r="F17" s="16"/>
      <c r="G17" s="16"/>
      <c r="H17" s="16"/>
    </row>
    <row r="18" ht="42" customHeight="1" spans="1:8">
      <c r="A18" s="15" t="s">
        <v>25</v>
      </c>
      <c r="B18" s="16" t="s">
        <v>26</v>
      </c>
      <c r="C18" s="16"/>
      <c r="D18" s="16"/>
      <c r="E18" s="16"/>
      <c r="F18" s="16"/>
      <c r="G18" s="16"/>
      <c r="H18" s="16"/>
    </row>
    <row r="19" ht="42" customHeight="1" spans="1:8">
      <c r="A19" s="15" t="s">
        <v>27</v>
      </c>
      <c r="B19" s="16" t="s">
        <v>28</v>
      </c>
      <c r="C19" s="16"/>
      <c r="D19" s="16"/>
      <c r="E19" s="16"/>
      <c r="F19" s="16"/>
      <c r="G19" s="16"/>
      <c r="H19" s="16"/>
    </row>
  </sheetData>
  <mergeCells count="7">
    <mergeCell ref="A1:H1"/>
    <mergeCell ref="A14:H14"/>
    <mergeCell ref="B15:H15"/>
    <mergeCell ref="B16:H16"/>
    <mergeCell ref="B17:H17"/>
    <mergeCell ref="B18:H18"/>
    <mergeCell ref="B19:H19"/>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33"/>
  <sheetViews>
    <sheetView showGridLines="0" topLeftCell="I4" workbookViewId="0">
      <selection activeCell="O12" sqref="O12"/>
    </sheetView>
  </sheetViews>
  <sheetFormatPr defaultColWidth="9" defaultRowHeight="14"/>
  <cols>
    <col min="1" max="2" width="10" customWidth="1"/>
    <col min="3" max="3" width="24" customWidth="1"/>
    <col min="4" max="4" width="46" customWidth="1"/>
    <col min="5" max="5" width="28" customWidth="1"/>
    <col min="6" max="6" width="20" customWidth="1"/>
    <col min="7" max="7" width="10" customWidth="1"/>
    <col min="8" max="8" width="9" customWidth="1"/>
    <col min="9" max="9" width="22" customWidth="1"/>
    <col min="10" max="10" width="42" customWidth="1"/>
    <col min="11" max="11" width="18" customWidth="1"/>
    <col min="12" max="12" width="36" customWidth="1"/>
    <col min="13" max="13" width="72" customWidth="1"/>
    <col min="14" max="14" width="44" customWidth="1"/>
    <col min="15" max="15" width="13" customWidth="1"/>
    <col min="16" max="16" width="20" customWidth="1"/>
    <col min="17" max="17" width="34" customWidth="1"/>
    <col min="18" max="18" width="30" customWidth="1"/>
  </cols>
  <sheetData>
    <row r="1" ht="30" customHeight="1" spans="1:18">
      <c r="A1" s="1" t="s">
        <v>29</v>
      </c>
      <c r="B1" s="1"/>
      <c r="C1" s="1"/>
      <c r="D1" s="1"/>
      <c r="E1" s="1"/>
      <c r="F1" s="1"/>
      <c r="G1" s="1"/>
      <c r="H1" s="1"/>
      <c r="I1" s="1"/>
      <c r="J1" s="1"/>
      <c r="K1" s="1"/>
      <c r="L1" s="1"/>
      <c r="M1" s="1"/>
      <c r="N1" s="1"/>
      <c r="O1" s="1"/>
      <c r="P1" s="1"/>
      <c r="Q1" s="1"/>
      <c r="R1" s="1"/>
    </row>
    <row r="2" ht="42" customHeight="1" spans="1:18">
      <c r="A2" s="2" t="s">
        <v>30</v>
      </c>
      <c r="B2" s="2"/>
      <c r="C2" s="2"/>
      <c r="D2" s="2"/>
      <c r="E2" s="2"/>
      <c r="F2" s="2"/>
      <c r="G2" s="2"/>
      <c r="H2" s="2"/>
      <c r="I2" s="2"/>
      <c r="J2" s="2"/>
      <c r="K2" s="2"/>
      <c r="L2" s="2"/>
      <c r="M2" s="2"/>
      <c r="N2" s="2"/>
      <c r="O2" s="2"/>
      <c r="P2" s="2"/>
      <c r="Q2" s="2"/>
      <c r="R2" s="2"/>
    </row>
    <row r="3" ht="34" customHeight="1" spans="1:18">
      <c r="A3" s="3" t="s">
        <v>31</v>
      </c>
      <c r="B3" s="4" t="s">
        <v>32</v>
      </c>
      <c r="C3" s="4" t="s">
        <v>33</v>
      </c>
      <c r="D3" s="4" t="s">
        <v>34</v>
      </c>
      <c r="E3" s="4" t="s">
        <v>35</v>
      </c>
      <c r="F3" s="4" t="s">
        <v>36</v>
      </c>
      <c r="G3" s="4" t="s">
        <v>37</v>
      </c>
      <c r="H3" s="4" t="s">
        <v>38</v>
      </c>
      <c r="I3" s="4" t="s">
        <v>39</v>
      </c>
      <c r="J3" s="4" t="s">
        <v>40</v>
      </c>
      <c r="K3" s="4" t="s">
        <v>41</v>
      </c>
      <c r="L3" s="4" t="s">
        <v>42</v>
      </c>
      <c r="M3" s="4" t="s">
        <v>43</v>
      </c>
      <c r="N3" s="4" t="s">
        <v>44</v>
      </c>
      <c r="O3" s="4" t="s">
        <v>45</v>
      </c>
      <c r="P3" s="4" t="s">
        <v>46</v>
      </c>
      <c r="Q3" s="4" t="s">
        <v>47</v>
      </c>
      <c r="R3" s="7" t="s">
        <v>48</v>
      </c>
    </row>
    <row r="4" ht="92" customHeight="1" spans="1:18">
      <c r="A4" s="5" t="s">
        <v>49</v>
      </c>
      <c r="B4" s="5">
        <v>11</v>
      </c>
      <c r="C4" s="5" t="s">
        <v>50</v>
      </c>
      <c r="D4" s="5" t="s">
        <v>51</v>
      </c>
      <c r="E4" s="5" t="s">
        <v>52</v>
      </c>
      <c r="F4" s="5" t="s">
        <v>53</v>
      </c>
      <c r="G4" s="5">
        <v>11</v>
      </c>
      <c r="H4" s="5">
        <v>5</v>
      </c>
      <c r="I4" s="5" t="s">
        <v>50</v>
      </c>
      <c r="J4" s="5" t="s">
        <v>54</v>
      </c>
      <c r="K4" s="5" t="s">
        <v>55</v>
      </c>
      <c r="L4" s="5" t="s">
        <v>56</v>
      </c>
      <c r="M4" s="5" t="s">
        <v>57</v>
      </c>
      <c r="N4" s="5" t="s">
        <v>58</v>
      </c>
      <c r="O4" s="6" t="s">
        <v>59</v>
      </c>
      <c r="P4" s="6" t="s">
        <v>60</v>
      </c>
      <c r="Q4" s="6" t="s">
        <v>61</v>
      </c>
      <c r="R4" s="8" t="s">
        <v>62</v>
      </c>
    </row>
    <row r="5" ht="92" customHeight="1" spans="1:18">
      <c r="A5" s="5" t="s">
        <v>63</v>
      </c>
      <c r="B5" s="5">
        <v>35</v>
      </c>
      <c r="C5" s="5" t="s">
        <v>64</v>
      </c>
      <c r="D5" s="5" t="s">
        <v>65</v>
      </c>
      <c r="E5" s="5" t="s">
        <v>66</v>
      </c>
      <c r="F5" s="5" t="s">
        <v>67</v>
      </c>
      <c r="G5" s="5">
        <v>5</v>
      </c>
      <c r="H5" s="5">
        <v>42</v>
      </c>
      <c r="I5" s="5" t="s">
        <v>64</v>
      </c>
      <c r="J5" s="5" t="s">
        <v>68</v>
      </c>
      <c r="K5" s="5" t="s">
        <v>69</v>
      </c>
      <c r="L5" s="5" t="s">
        <v>70</v>
      </c>
      <c r="M5" s="5" t="s">
        <v>71</v>
      </c>
      <c r="N5" s="5" t="s">
        <v>72</v>
      </c>
      <c r="O5" s="6" t="s">
        <v>73</v>
      </c>
      <c r="P5" s="6" t="s">
        <v>74</v>
      </c>
      <c r="Q5" s="6" t="s">
        <v>74</v>
      </c>
      <c r="R5" s="6" t="s">
        <v>74</v>
      </c>
    </row>
    <row r="6" ht="92" customHeight="1" spans="1:18">
      <c r="A6" s="5" t="s">
        <v>75</v>
      </c>
      <c r="B6" s="5">
        <v>48</v>
      </c>
      <c r="C6" s="5" t="s">
        <v>76</v>
      </c>
      <c r="D6" s="5" t="s">
        <v>77</v>
      </c>
      <c r="E6" s="5" t="s">
        <v>78</v>
      </c>
      <c r="F6" s="5" t="s">
        <v>79</v>
      </c>
      <c r="G6" s="5">
        <v>7</v>
      </c>
      <c r="H6" s="5">
        <v>192</v>
      </c>
      <c r="I6" s="5" t="s">
        <v>76</v>
      </c>
      <c r="J6" s="5" t="s">
        <v>80</v>
      </c>
      <c r="K6" s="5" t="s">
        <v>81</v>
      </c>
      <c r="L6" s="5" t="s">
        <v>82</v>
      </c>
      <c r="M6" s="5" t="s">
        <v>83</v>
      </c>
      <c r="N6" s="5" t="s">
        <v>84</v>
      </c>
      <c r="O6" s="6" t="s">
        <v>73</v>
      </c>
      <c r="P6" s="6" t="s">
        <v>74</v>
      </c>
      <c r="Q6" s="6" t="s">
        <v>74</v>
      </c>
      <c r="R6" s="6" t="s">
        <v>74</v>
      </c>
    </row>
    <row r="7" ht="92" customHeight="1" spans="1:18">
      <c r="A7" s="5" t="s">
        <v>85</v>
      </c>
      <c r="B7" s="5">
        <v>64</v>
      </c>
      <c r="C7" s="5" t="s">
        <v>86</v>
      </c>
      <c r="D7" s="5" t="s">
        <v>87</v>
      </c>
      <c r="E7" s="5" t="s">
        <v>86</v>
      </c>
      <c r="F7" s="5" t="s">
        <v>88</v>
      </c>
      <c r="G7" s="5">
        <v>1</v>
      </c>
      <c r="H7" s="5">
        <v>13</v>
      </c>
      <c r="I7" s="5" t="s">
        <v>86</v>
      </c>
      <c r="J7" s="5" t="s">
        <v>89</v>
      </c>
      <c r="K7" s="5" t="s">
        <v>90</v>
      </c>
      <c r="L7" s="5" t="s">
        <v>91</v>
      </c>
      <c r="M7" s="5" t="s">
        <v>92</v>
      </c>
      <c r="N7" s="5" t="s">
        <v>93</v>
      </c>
      <c r="O7" s="6" t="s">
        <v>73</v>
      </c>
      <c r="P7" s="6" t="s">
        <v>74</v>
      </c>
      <c r="Q7" s="6" t="s">
        <v>74</v>
      </c>
      <c r="R7" s="6" t="s">
        <v>74</v>
      </c>
    </row>
    <row r="8" ht="92" customHeight="1" spans="1:18">
      <c r="A8" s="5" t="s">
        <v>94</v>
      </c>
      <c r="B8" s="5">
        <v>70</v>
      </c>
      <c r="C8" s="5" t="s">
        <v>95</v>
      </c>
      <c r="D8" s="5" t="s">
        <v>96</v>
      </c>
      <c r="E8" s="5" t="s">
        <v>97</v>
      </c>
      <c r="F8" s="5" t="s">
        <v>98</v>
      </c>
      <c r="G8" s="5">
        <v>8</v>
      </c>
      <c r="H8" s="5">
        <v>64</v>
      </c>
      <c r="I8" s="5" t="s">
        <v>95</v>
      </c>
      <c r="J8" s="5" t="s">
        <v>99</v>
      </c>
      <c r="K8" s="5" t="s">
        <v>100</v>
      </c>
      <c r="L8" s="5" t="s">
        <v>101</v>
      </c>
      <c r="M8" s="5" t="s">
        <v>102</v>
      </c>
      <c r="N8" s="5" t="s">
        <v>103</v>
      </c>
      <c r="O8" s="6" t="s">
        <v>59</v>
      </c>
      <c r="P8" s="6" t="s">
        <v>60</v>
      </c>
      <c r="Q8" s="6" t="s">
        <v>104</v>
      </c>
      <c r="R8" s="8" t="s">
        <v>62</v>
      </c>
    </row>
    <row r="9" ht="92" customHeight="1" spans="1:18">
      <c r="A9" s="5" t="s">
        <v>105</v>
      </c>
      <c r="B9" s="5">
        <v>76</v>
      </c>
      <c r="C9" s="5" t="s">
        <v>106</v>
      </c>
      <c r="D9" s="5" t="s">
        <v>107</v>
      </c>
      <c r="E9" s="5" t="s">
        <v>108</v>
      </c>
      <c r="F9" s="5" t="s">
        <v>109</v>
      </c>
      <c r="G9" s="5">
        <v>2</v>
      </c>
      <c r="H9" s="5">
        <v>18</v>
      </c>
      <c r="I9" s="5" t="s">
        <v>110</v>
      </c>
      <c r="J9" s="5" t="s">
        <v>111</v>
      </c>
      <c r="K9" s="5" t="s">
        <v>112</v>
      </c>
      <c r="L9" s="5" t="s">
        <v>113</v>
      </c>
      <c r="M9" s="5" t="s">
        <v>114</v>
      </c>
      <c r="N9" s="5" t="s">
        <v>115</v>
      </c>
      <c r="O9" s="6" t="s">
        <v>73</v>
      </c>
      <c r="P9" s="6" t="s">
        <v>74</v>
      </c>
      <c r="Q9" s="6" t="s">
        <v>74</v>
      </c>
      <c r="R9" s="6"/>
    </row>
    <row r="10" ht="92" customHeight="1" spans="1:18">
      <c r="A10" s="5" t="s">
        <v>116</v>
      </c>
      <c r="B10" s="5">
        <v>80</v>
      </c>
      <c r="C10" s="5" t="s">
        <v>117</v>
      </c>
      <c r="D10" s="5" t="s">
        <v>118</v>
      </c>
      <c r="E10" s="5" t="s">
        <v>119</v>
      </c>
      <c r="F10" s="5" t="s">
        <v>120</v>
      </c>
      <c r="G10" s="5">
        <v>2</v>
      </c>
      <c r="H10" s="5">
        <v>19</v>
      </c>
      <c r="I10" s="5" t="s">
        <v>121</v>
      </c>
      <c r="J10" s="5" t="s">
        <v>122</v>
      </c>
      <c r="K10" s="5" t="s">
        <v>123</v>
      </c>
      <c r="L10" s="5" t="s">
        <v>124</v>
      </c>
      <c r="M10" s="5" t="s">
        <v>125</v>
      </c>
      <c r="N10" s="5" t="s">
        <v>126</v>
      </c>
      <c r="O10" s="6" t="s">
        <v>73</v>
      </c>
      <c r="P10" s="6" t="s">
        <v>74</v>
      </c>
      <c r="Q10" s="6" t="s">
        <v>74</v>
      </c>
      <c r="R10" s="6" t="s">
        <v>74</v>
      </c>
    </row>
    <row r="11" ht="92" customHeight="1" spans="1:18">
      <c r="A11" s="5" t="s">
        <v>127</v>
      </c>
      <c r="B11" s="5">
        <v>86</v>
      </c>
      <c r="C11" s="5" t="s">
        <v>128</v>
      </c>
      <c r="D11" s="5" t="s">
        <v>129</v>
      </c>
      <c r="E11" s="5" t="s">
        <v>130</v>
      </c>
      <c r="F11" s="5" t="s">
        <v>131</v>
      </c>
      <c r="G11" s="5">
        <v>7</v>
      </c>
      <c r="H11" s="5">
        <v>80</v>
      </c>
      <c r="I11" s="5" t="s">
        <v>128</v>
      </c>
      <c r="J11" s="5" t="s">
        <v>132</v>
      </c>
      <c r="K11" s="5" t="s">
        <v>133</v>
      </c>
      <c r="L11" s="5" t="s">
        <v>134</v>
      </c>
      <c r="M11" s="5" t="s">
        <v>135</v>
      </c>
      <c r="N11" s="5" t="s">
        <v>136</v>
      </c>
      <c r="O11" s="6" t="s">
        <v>73</v>
      </c>
      <c r="P11" s="6" t="s">
        <v>74</v>
      </c>
      <c r="Q11" s="6" t="s">
        <v>74</v>
      </c>
      <c r="R11" s="6" t="s">
        <v>74</v>
      </c>
    </row>
    <row r="12" ht="92" customHeight="1" spans="1:18">
      <c r="A12" s="5" t="s">
        <v>137</v>
      </c>
      <c r="B12" s="5">
        <v>89</v>
      </c>
      <c r="C12" s="5" t="s">
        <v>138</v>
      </c>
      <c r="D12" s="5" t="s">
        <v>139</v>
      </c>
      <c r="E12" s="5" t="s">
        <v>140</v>
      </c>
      <c r="F12" s="5" t="s">
        <v>131</v>
      </c>
      <c r="G12" s="5">
        <v>2</v>
      </c>
      <c r="H12" s="5">
        <v>20</v>
      </c>
      <c r="I12" s="5" t="s">
        <v>138</v>
      </c>
      <c r="J12" s="5" t="s">
        <v>141</v>
      </c>
      <c r="K12" s="5" t="s">
        <v>142</v>
      </c>
      <c r="L12" s="5" t="s">
        <v>143</v>
      </c>
      <c r="M12" s="5" t="s">
        <v>144</v>
      </c>
      <c r="N12" s="5" t="s">
        <v>145</v>
      </c>
      <c r="O12" s="6" t="s">
        <v>73</v>
      </c>
      <c r="P12" s="6" t="s">
        <v>74</v>
      </c>
      <c r="Q12" s="6" t="s">
        <v>74</v>
      </c>
      <c r="R12" s="6" t="s">
        <v>74</v>
      </c>
    </row>
    <row r="13" ht="92" customHeight="1" spans="1:18">
      <c r="A13" s="5" t="s">
        <v>146</v>
      </c>
      <c r="B13" s="5">
        <v>103</v>
      </c>
      <c r="C13" s="5" t="s">
        <v>147</v>
      </c>
      <c r="D13" s="5" t="s">
        <v>148</v>
      </c>
      <c r="E13" s="5" t="s">
        <v>149</v>
      </c>
      <c r="F13" s="5" t="s">
        <v>150</v>
      </c>
      <c r="G13" s="5">
        <v>2</v>
      </c>
      <c r="H13" s="5">
        <v>18</v>
      </c>
      <c r="I13" s="5" t="s">
        <v>147</v>
      </c>
      <c r="J13" s="5" t="s">
        <v>151</v>
      </c>
      <c r="K13" s="5" t="s">
        <v>112</v>
      </c>
      <c r="L13" s="5" t="s">
        <v>113</v>
      </c>
      <c r="M13" s="5" t="s">
        <v>114</v>
      </c>
      <c r="N13" s="5" t="s">
        <v>152</v>
      </c>
      <c r="O13" s="6" t="s">
        <v>74</v>
      </c>
      <c r="P13" s="6" t="s">
        <v>74</v>
      </c>
      <c r="Q13" s="6" t="s">
        <v>74</v>
      </c>
      <c r="R13" s="6" t="s">
        <v>74</v>
      </c>
    </row>
    <row r="14" ht="92" customHeight="1" spans="1:18">
      <c r="A14" s="5" t="s">
        <v>153</v>
      </c>
      <c r="B14" s="5">
        <v>104</v>
      </c>
      <c r="C14" s="5" t="s">
        <v>154</v>
      </c>
      <c r="D14" s="5" t="s">
        <v>155</v>
      </c>
      <c r="E14" s="5" t="s">
        <v>156</v>
      </c>
      <c r="F14" s="5" t="s">
        <v>157</v>
      </c>
      <c r="G14" s="5">
        <v>1</v>
      </c>
      <c r="H14" s="5">
        <v>18</v>
      </c>
      <c r="I14" s="5" t="s">
        <v>158</v>
      </c>
      <c r="J14" s="5" t="s">
        <v>159</v>
      </c>
      <c r="K14" s="5" t="s">
        <v>112</v>
      </c>
      <c r="L14" s="5" t="s">
        <v>113</v>
      </c>
      <c r="M14" s="5" t="s">
        <v>114</v>
      </c>
      <c r="N14" s="5" t="s">
        <v>160</v>
      </c>
      <c r="O14" s="6" t="s">
        <v>74</v>
      </c>
      <c r="P14" s="6" t="s">
        <v>74</v>
      </c>
      <c r="Q14" s="6" t="s">
        <v>74</v>
      </c>
      <c r="R14" s="6" t="s">
        <v>74</v>
      </c>
    </row>
    <row r="15" ht="92" customHeight="1" spans="1:18">
      <c r="A15" s="5" t="s">
        <v>161</v>
      </c>
      <c r="B15" s="5">
        <v>136</v>
      </c>
      <c r="C15" s="5" t="s">
        <v>162</v>
      </c>
      <c r="D15" s="5" t="s">
        <v>163</v>
      </c>
      <c r="E15" s="5" t="s">
        <v>164</v>
      </c>
      <c r="F15" s="5" t="s">
        <v>165</v>
      </c>
      <c r="G15" s="5">
        <v>1</v>
      </c>
      <c r="H15" s="5">
        <v>26</v>
      </c>
      <c r="I15" s="5" t="s">
        <v>166</v>
      </c>
      <c r="J15" s="5" t="s">
        <v>167</v>
      </c>
      <c r="K15" s="5" t="s">
        <v>168</v>
      </c>
      <c r="L15" s="5" t="s">
        <v>169</v>
      </c>
      <c r="M15" s="5" t="s">
        <v>170</v>
      </c>
      <c r="N15" s="5" t="s">
        <v>171</v>
      </c>
      <c r="O15" s="6" t="s">
        <v>74</v>
      </c>
      <c r="P15" s="6" t="s">
        <v>74</v>
      </c>
      <c r="Q15" s="6" t="s">
        <v>74</v>
      </c>
      <c r="R15" s="6" t="s">
        <v>74</v>
      </c>
    </row>
    <row r="16" ht="92" customHeight="1" spans="1:18">
      <c r="A16" s="5" t="s">
        <v>172</v>
      </c>
      <c r="B16" s="5">
        <v>141</v>
      </c>
      <c r="C16" s="5" t="s">
        <v>173</v>
      </c>
      <c r="D16" s="5" t="s">
        <v>174</v>
      </c>
      <c r="E16" s="5" t="s">
        <v>175</v>
      </c>
      <c r="F16" s="5" t="s">
        <v>176</v>
      </c>
      <c r="G16" s="5">
        <v>2</v>
      </c>
      <c r="H16" s="5">
        <v>28</v>
      </c>
      <c r="I16" s="5" t="s">
        <v>173</v>
      </c>
      <c r="J16" s="5" t="s">
        <v>177</v>
      </c>
      <c r="K16" s="5" t="s">
        <v>178</v>
      </c>
      <c r="L16" s="5" t="s">
        <v>179</v>
      </c>
      <c r="M16" s="5" t="s">
        <v>180</v>
      </c>
      <c r="N16" s="5" t="s">
        <v>181</v>
      </c>
      <c r="O16" s="6" t="s">
        <v>74</v>
      </c>
      <c r="P16" s="6" t="s">
        <v>74</v>
      </c>
      <c r="Q16" s="6" t="s">
        <v>74</v>
      </c>
      <c r="R16" s="6" t="s">
        <v>74</v>
      </c>
    </row>
    <row r="17" ht="92" customHeight="1" spans="1:18">
      <c r="A17" s="5" t="s">
        <v>182</v>
      </c>
      <c r="B17" s="5">
        <v>151</v>
      </c>
      <c r="C17" s="5" t="s">
        <v>183</v>
      </c>
      <c r="D17" s="5" t="s">
        <v>184</v>
      </c>
      <c r="E17" s="5" t="s">
        <v>185</v>
      </c>
      <c r="F17" s="5" t="s">
        <v>186</v>
      </c>
      <c r="G17" s="5">
        <v>3</v>
      </c>
      <c r="H17" s="5">
        <v>34</v>
      </c>
      <c r="I17" s="5" t="s">
        <v>187</v>
      </c>
      <c r="J17" s="5" t="s">
        <v>188</v>
      </c>
      <c r="K17" s="5" t="s">
        <v>189</v>
      </c>
      <c r="L17" s="5" t="s">
        <v>190</v>
      </c>
      <c r="M17" s="5" t="s">
        <v>191</v>
      </c>
      <c r="N17" s="5" t="s">
        <v>192</v>
      </c>
      <c r="O17" s="6" t="s">
        <v>74</v>
      </c>
      <c r="P17" s="6" t="s">
        <v>74</v>
      </c>
      <c r="Q17" s="6" t="s">
        <v>74</v>
      </c>
      <c r="R17" s="6" t="s">
        <v>74</v>
      </c>
    </row>
    <row r="18" ht="92" customHeight="1" spans="1:18">
      <c r="A18" s="5" t="s">
        <v>193</v>
      </c>
      <c r="B18" s="5">
        <v>152</v>
      </c>
      <c r="C18" s="5" t="s">
        <v>194</v>
      </c>
      <c r="D18" s="5" t="s">
        <v>195</v>
      </c>
      <c r="E18" s="5" t="s">
        <v>196</v>
      </c>
      <c r="F18" s="5" t="s">
        <v>197</v>
      </c>
      <c r="G18" s="5">
        <v>1</v>
      </c>
      <c r="H18" s="5">
        <v>33</v>
      </c>
      <c r="I18" s="5" t="s">
        <v>198</v>
      </c>
      <c r="J18" s="5" t="s">
        <v>199</v>
      </c>
      <c r="K18" s="5" t="s">
        <v>200</v>
      </c>
      <c r="L18" s="5" t="s">
        <v>201</v>
      </c>
      <c r="M18" s="5" t="s">
        <v>202</v>
      </c>
      <c r="N18" s="5" t="s">
        <v>203</v>
      </c>
      <c r="O18" s="6" t="s">
        <v>74</v>
      </c>
      <c r="P18" s="6" t="s">
        <v>74</v>
      </c>
      <c r="Q18" s="6" t="s">
        <v>74</v>
      </c>
      <c r="R18" s="6" t="s">
        <v>74</v>
      </c>
    </row>
    <row r="19" ht="92" customHeight="1" spans="1:18">
      <c r="A19" s="5" t="s">
        <v>204</v>
      </c>
      <c r="B19" s="5">
        <v>168</v>
      </c>
      <c r="C19" s="5" t="s">
        <v>205</v>
      </c>
      <c r="D19" s="5" t="s">
        <v>206</v>
      </c>
      <c r="E19" s="5" t="s">
        <v>207</v>
      </c>
      <c r="F19" s="5" t="s">
        <v>208</v>
      </c>
      <c r="G19" s="5">
        <v>1</v>
      </c>
      <c r="H19" s="5">
        <v>36</v>
      </c>
      <c r="I19" s="5" t="s">
        <v>209</v>
      </c>
      <c r="J19" s="5" t="s">
        <v>210</v>
      </c>
      <c r="K19" s="5" t="s">
        <v>211</v>
      </c>
      <c r="L19" s="5" t="s">
        <v>212</v>
      </c>
      <c r="M19" s="5" t="s">
        <v>213</v>
      </c>
      <c r="N19" s="5" t="s">
        <v>214</v>
      </c>
      <c r="O19" s="6" t="s">
        <v>74</v>
      </c>
      <c r="P19" s="6" t="s">
        <v>74</v>
      </c>
      <c r="Q19" s="6" t="s">
        <v>74</v>
      </c>
      <c r="R19" s="6" t="s">
        <v>74</v>
      </c>
    </row>
    <row r="20" ht="92" customHeight="1" spans="1:18">
      <c r="A20" s="5" t="s">
        <v>215</v>
      </c>
      <c r="B20" s="5">
        <v>201</v>
      </c>
      <c r="C20" s="5" t="s">
        <v>216</v>
      </c>
      <c r="D20" s="5" t="s">
        <v>217</v>
      </c>
      <c r="E20" s="5" t="s">
        <v>218</v>
      </c>
      <c r="F20" s="5" t="s">
        <v>219</v>
      </c>
      <c r="G20" s="5">
        <v>1</v>
      </c>
      <c r="H20" s="5">
        <v>40</v>
      </c>
      <c r="I20" s="5" t="s">
        <v>216</v>
      </c>
      <c r="J20" s="5" t="s">
        <v>220</v>
      </c>
      <c r="K20" s="5" t="s">
        <v>221</v>
      </c>
      <c r="L20" s="5" t="s">
        <v>222</v>
      </c>
      <c r="M20" s="5" t="s">
        <v>223</v>
      </c>
      <c r="N20" s="5" t="s">
        <v>224</v>
      </c>
      <c r="O20" s="6" t="s">
        <v>74</v>
      </c>
      <c r="P20" s="6" t="s">
        <v>74</v>
      </c>
      <c r="Q20" s="6" t="s">
        <v>74</v>
      </c>
      <c r="R20" s="6" t="s">
        <v>74</v>
      </c>
    </row>
    <row r="21" ht="92" customHeight="1" spans="1:18">
      <c r="A21" s="5" t="s">
        <v>225</v>
      </c>
      <c r="B21" s="5">
        <v>233</v>
      </c>
      <c r="C21" s="5" t="s">
        <v>226</v>
      </c>
      <c r="D21" s="5" t="s">
        <v>227</v>
      </c>
      <c r="E21" s="5" t="s">
        <v>226</v>
      </c>
      <c r="F21" s="5" t="s">
        <v>228</v>
      </c>
      <c r="G21" s="5">
        <v>1</v>
      </c>
      <c r="H21" s="5">
        <v>42</v>
      </c>
      <c r="I21" s="5" t="s">
        <v>226</v>
      </c>
      <c r="J21" s="5" t="s">
        <v>229</v>
      </c>
      <c r="K21" s="5" t="s">
        <v>230</v>
      </c>
      <c r="L21" s="5" t="s">
        <v>231</v>
      </c>
      <c r="M21" s="5" t="s">
        <v>232</v>
      </c>
      <c r="N21" s="5" t="s">
        <v>233</v>
      </c>
      <c r="O21" s="6" t="s">
        <v>74</v>
      </c>
      <c r="P21" s="6" t="s">
        <v>74</v>
      </c>
      <c r="Q21" s="6" t="s">
        <v>74</v>
      </c>
      <c r="R21" s="6" t="s">
        <v>74</v>
      </c>
    </row>
    <row r="22" ht="92" customHeight="1" spans="1:18">
      <c r="A22" s="5" t="s">
        <v>234</v>
      </c>
      <c r="B22" s="5">
        <v>293</v>
      </c>
      <c r="C22" s="5" t="s">
        <v>235</v>
      </c>
      <c r="D22" s="5" t="s">
        <v>236</v>
      </c>
      <c r="E22" s="5" t="s">
        <v>235</v>
      </c>
      <c r="F22" s="5" t="s">
        <v>237</v>
      </c>
      <c r="G22" s="5">
        <v>1</v>
      </c>
      <c r="H22" s="5">
        <v>50</v>
      </c>
      <c r="I22" s="5" t="s">
        <v>235</v>
      </c>
      <c r="J22" s="5" t="s">
        <v>238</v>
      </c>
      <c r="K22" s="5" t="s">
        <v>239</v>
      </c>
      <c r="L22" s="5" t="s">
        <v>240</v>
      </c>
      <c r="M22" s="5" t="s">
        <v>241</v>
      </c>
      <c r="N22" s="5" t="s">
        <v>242</v>
      </c>
      <c r="O22" s="6" t="s">
        <v>74</v>
      </c>
      <c r="P22" s="6" t="s">
        <v>74</v>
      </c>
      <c r="Q22" s="6" t="s">
        <v>74</v>
      </c>
      <c r="R22" s="6" t="s">
        <v>74</v>
      </c>
    </row>
    <row r="23" ht="92" customHeight="1" spans="1:18">
      <c r="A23" s="5" t="s">
        <v>243</v>
      </c>
      <c r="B23" s="5">
        <v>301</v>
      </c>
      <c r="C23" s="5" t="s">
        <v>244</v>
      </c>
      <c r="D23" s="5" t="s">
        <v>245</v>
      </c>
      <c r="E23" s="5" t="s">
        <v>246</v>
      </c>
      <c r="F23" s="5" t="s">
        <v>247</v>
      </c>
      <c r="G23" s="5">
        <v>1</v>
      </c>
      <c r="H23" s="5">
        <v>53</v>
      </c>
      <c r="I23" s="5" t="s">
        <v>248</v>
      </c>
      <c r="J23" s="5" t="s">
        <v>249</v>
      </c>
      <c r="K23" s="5" t="s">
        <v>250</v>
      </c>
      <c r="L23" s="5" t="s">
        <v>251</v>
      </c>
      <c r="M23" s="5" t="s">
        <v>252</v>
      </c>
      <c r="N23" s="5" t="s">
        <v>253</v>
      </c>
      <c r="O23" s="6" t="s">
        <v>74</v>
      </c>
      <c r="P23" s="6" t="s">
        <v>74</v>
      </c>
      <c r="Q23" s="6" t="s">
        <v>74</v>
      </c>
      <c r="R23" s="6" t="s">
        <v>74</v>
      </c>
    </row>
    <row r="24" ht="92" customHeight="1" spans="1:18">
      <c r="A24" s="5" t="s">
        <v>254</v>
      </c>
      <c r="B24" s="5">
        <v>348</v>
      </c>
      <c r="C24" s="5" t="s">
        <v>255</v>
      </c>
      <c r="D24" s="5" t="s">
        <v>256</v>
      </c>
      <c r="E24" s="5" t="s">
        <v>257</v>
      </c>
      <c r="F24" s="5" t="s">
        <v>258</v>
      </c>
      <c r="G24" s="5">
        <v>3</v>
      </c>
      <c r="H24" s="5">
        <v>74</v>
      </c>
      <c r="I24" s="5" t="s">
        <v>259</v>
      </c>
      <c r="J24" s="5" t="s">
        <v>260</v>
      </c>
      <c r="K24" s="5" t="s">
        <v>261</v>
      </c>
      <c r="L24" s="5" t="s">
        <v>262</v>
      </c>
      <c r="M24" s="5" t="s">
        <v>263</v>
      </c>
      <c r="N24" s="5" t="s">
        <v>264</v>
      </c>
      <c r="O24" s="6" t="s">
        <v>74</v>
      </c>
      <c r="P24" s="6" t="s">
        <v>74</v>
      </c>
      <c r="Q24" s="6" t="s">
        <v>74</v>
      </c>
      <c r="R24" s="6" t="s">
        <v>74</v>
      </c>
    </row>
    <row r="25" ht="92" customHeight="1" spans="1:18">
      <c r="A25" s="5" t="s">
        <v>265</v>
      </c>
      <c r="B25" s="5">
        <v>460</v>
      </c>
      <c r="C25" s="5" t="s">
        <v>266</v>
      </c>
      <c r="D25" s="5" t="s">
        <v>267</v>
      </c>
      <c r="E25" s="5" t="s">
        <v>268</v>
      </c>
      <c r="F25" s="5" t="s">
        <v>269</v>
      </c>
      <c r="G25" s="5">
        <v>4</v>
      </c>
      <c r="H25" s="5">
        <v>126</v>
      </c>
      <c r="I25" s="5" t="s">
        <v>266</v>
      </c>
      <c r="J25" s="5" t="s">
        <v>270</v>
      </c>
      <c r="K25" s="5" t="s">
        <v>271</v>
      </c>
      <c r="L25" s="5" t="s">
        <v>272</v>
      </c>
      <c r="M25" s="5" t="s">
        <v>273</v>
      </c>
      <c r="N25" s="5" t="s">
        <v>274</v>
      </c>
      <c r="O25" s="6" t="s">
        <v>74</v>
      </c>
      <c r="P25" s="6" t="s">
        <v>74</v>
      </c>
      <c r="Q25" s="6" t="s">
        <v>74</v>
      </c>
      <c r="R25" s="6" t="s">
        <v>74</v>
      </c>
    </row>
    <row r="26" ht="92" customHeight="1" spans="1:18">
      <c r="A26" s="5" t="s">
        <v>275</v>
      </c>
      <c r="B26" s="5">
        <v>480</v>
      </c>
      <c r="C26" s="5" t="s">
        <v>276</v>
      </c>
      <c r="D26" s="5" t="s">
        <v>277</v>
      </c>
      <c r="E26" s="5" t="s">
        <v>278</v>
      </c>
      <c r="F26" s="5" t="s">
        <v>279</v>
      </c>
      <c r="G26" s="5">
        <v>1</v>
      </c>
      <c r="H26" s="5">
        <v>124</v>
      </c>
      <c r="I26" s="5" t="s">
        <v>278</v>
      </c>
      <c r="J26" s="5" t="s">
        <v>280</v>
      </c>
      <c r="K26" s="5" t="s">
        <v>281</v>
      </c>
      <c r="L26" s="5" t="s">
        <v>282</v>
      </c>
      <c r="M26" s="5" t="s">
        <v>283</v>
      </c>
      <c r="N26" s="5" t="s">
        <v>284</v>
      </c>
      <c r="O26" s="6" t="s">
        <v>74</v>
      </c>
      <c r="P26" s="6" t="s">
        <v>74</v>
      </c>
      <c r="Q26" s="6" t="s">
        <v>74</v>
      </c>
      <c r="R26" s="6" t="s">
        <v>74</v>
      </c>
    </row>
    <row r="27" ht="92" customHeight="1" spans="1:18">
      <c r="A27" s="5" t="s">
        <v>285</v>
      </c>
      <c r="B27" s="5">
        <v>493</v>
      </c>
      <c r="C27" s="5" t="s">
        <v>286</v>
      </c>
      <c r="D27" s="5" t="s">
        <v>287</v>
      </c>
      <c r="E27" s="5" t="s">
        <v>288</v>
      </c>
      <c r="F27" s="5" t="s">
        <v>289</v>
      </c>
      <c r="G27" s="5">
        <v>3</v>
      </c>
      <c r="H27" s="5">
        <v>176</v>
      </c>
      <c r="I27" s="5" t="s">
        <v>290</v>
      </c>
      <c r="J27" s="5" t="s">
        <v>291</v>
      </c>
      <c r="K27" s="5" t="s">
        <v>292</v>
      </c>
      <c r="L27" s="5" t="s">
        <v>293</v>
      </c>
      <c r="M27" s="5" t="s">
        <v>294</v>
      </c>
      <c r="N27" s="5" t="s">
        <v>295</v>
      </c>
      <c r="O27" s="6" t="s">
        <v>74</v>
      </c>
      <c r="P27" s="6" t="s">
        <v>74</v>
      </c>
      <c r="Q27" s="6" t="s">
        <v>74</v>
      </c>
      <c r="R27" s="6" t="s">
        <v>74</v>
      </c>
    </row>
    <row r="28" ht="92" customHeight="1" spans="1:18">
      <c r="A28" s="5" t="s">
        <v>296</v>
      </c>
      <c r="B28" s="5">
        <v>503</v>
      </c>
      <c r="C28" s="5" t="s">
        <v>297</v>
      </c>
      <c r="D28" s="5" t="s">
        <v>298</v>
      </c>
      <c r="E28" s="5" t="s">
        <v>299</v>
      </c>
      <c r="F28" s="5" t="s">
        <v>300</v>
      </c>
      <c r="G28" s="5">
        <v>2</v>
      </c>
      <c r="H28" s="5">
        <v>141</v>
      </c>
      <c r="I28" s="5" t="s">
        <v>299</v>
      </c>
      <c r="J28" s="5" t="s">
        <v>301</v>
      </c>
      <c r="K28" s="5" t="s">
        <v>302</v>
      </c>
      <c r="L28" s="5" t="s">
        <v>303</v>
      </c>
      <c r="M28" s="5" t="s">
        <v>304</v>
      </c>
      <c r="N28" s="5" t="s">
        <v>305</v>
      </c>
      <c r="O28" s="6" t="s">
        <v>74</v>
      </c>
      <c r="P28" s="6" t="s">
        <v>74</v>
      </c>
      <c r="Q28" s="6" t="s">
        <v>74</v>
      </c>
      <c r="R28" s="6" t="s">
        <v>74</v>
      </c>
    </row>
    <row r="29" ht="92" customHeight="1" spans="1:18">
      <c r="A29" s="5" t="s">
        <v>306</v>
      </c>
      <c r="B29" s="5">
        <v>525</v>
      </c>
      <c r="C29" s="5" t="s">
        <v>307</v>
      </c>
      <c r="D29" s="5" t="s">
        <v>308</v>
      </c>
      <c r="E29" s="5" t="s">
        <v>309</v>
      </c>
      <c r="F29" s="5" t="s">
        <v>310</v>
      </c>
      <c r="G29" s="5">
        <v>1</v>
      </c>
      <c r="H29" s="5">
        <v>147</v>
      </c>
      <c r="I29" s="5" t="s">
        <v>309</v>
      </c>
      <c r="J29" s="5" t="s">
        <v>311</v>
      </c>
      <c r="K29" s="5" t="s">
        <v>312</v>
      </c>
      <c r="L29" s="5" t="s">
        <v>313</v>
      </c>
      <c r="M29" s="5" t="s">
        <v>314</v>
      </c>
      <c r="N29" s="5" t="s">
        <v>315</v>
      </c>
      <c r="O29" s="6" t="s">
        <v>74</v>
      </c>
      <c r="P29" s="6" t="s">
        <v>74</v>
      </c>
      <c r="Q29" s="6" t="s">
        <v>74</v>
      </c>
      <c r="R29" s="6" t="s">
        <v>74</v>
      </c>
    </row>
    <row r="30" ht="92" customHeight="1" spans="1:18">
      <c r="A30" s="5" t="s">
        <v>316</v>
      </c>
      <c r="B30" s="5">
        <v>534</v>
      </c>
      <c r="C30" s="5" t="s">
        <v>317</v>
      </c>
      <c r="D30" s="5" t="s">
        <v>318</v>
      </c>
      <c r="E30" s="5" t="s">
        <v>317</v>
      </c>
      <c r="F30" s="5" t="s">
        <v>319</v>
      </c>
      <c r="G30" s="5">
        <v>2</v>
      </c>
      <c r="H30" s="5">
        <v>155</v>
      </c>
      <c r="I30" s="5" t="s">
        <v>317</v>
      </c>
      <c r="J30" s="5" t="s">
        <v>320</v>
      </c>
      <c r="K30" s="5" t="s">
        <v>321</v>
      </c>
      <c r="L30" s="5" t="s">
        <v>322</v>
      </c>
      <c r="M30" s="5" t="s">
        <v>323</v>
      </c>
      <c r="N30" s="5" t="s">
        <v>324</v>
      </c>
      <c r="O30" s="6" t="s">
        <v>74</v>
      </c>
      <c r="P30" s="6" t="s">
        <v>74</v>
      </c>
      <c r="Q30" s="6" t="s">
        <v>74</v>
      </c>
      <c r="R30" s="6" t="s">
        <v>74</v>
      </c>
    </row>
    <row r="31" ht="92" customHeight="1" spans="1:18">
      <c r="A31" s="5" t="s">
        <v>325</v>
      </c>
      <c r="B31" s="5">
        <v>548</v>
      </c>
      <c r="C31" s="5" t="s">
        <v>326</v>
      </c>
      <c r="D31" s="5" t="s">
        <v>327</v>
      </c>
      <c r="E31" s="5" t="s">
        <v>328</v>
      </c>
      <c r="F31" s="5" t="s">
        <v>176</v>
      </c>
      <c r="G31" s="5">
        <v>6</v>
      </c>
      <c r="H31" s="5">
        <v>165</v>
      </c>
      <c r="I31" s="5" t="s">
        <v>326</v>
      </c>
      <c r="J31" s="5" t="s">
        <v>329</v>
      </c>
      <c r="K31" s="5" t="s">
        <v>330</v>
      </c>
      <c r="L31" s="5" t="s">
        <v>331</v>
      </c>
      <c r="M31" s="5" t="s">
        <v>332</v>
      </c>
      <c r="N31" s="5" t="s">
        <v>333</v>
      </c>
      <c r="O31" s="6" t="s">
        <v>74</v>
      </c>
      <c r="P31" s="6" t="s">
        <v>74</v>
      </c>
      <c r="Q31" s="6" t="s">
        <v>74</v>
      </c>
      <c r="R31" s="6" t="s">
        <v>74</v>
      </c>
    </row>
    <row r="32" ht="92" customHeight="1" spans="1:18">
      <c r="A32" s="5" t="s">
        <v>334</v>
      </c>
      <c r="B32" s="5">
        <v>564</v>
      </c>
      <c r="C32" s="5" t="s">
        <v>335</v>
      </c>
      <c r="D32" s="5" t="s">
        <v>336</v>
      </c>
      <c r="E32" s="5" t="s">
        <v>337</v>
      </c>
      <c r="F32" s="5" t="s">
        <v>338</v>
      </c>
      <c r="G32" s="5">
        <v>1</v>
      </c>
      <c r="H32" s="5">
        <v>181</v>
      </c>
      <c r="I32" s="5" t="s">
        <v>337</v>
      </c>
      <c r="J32" s="5" t="s">
        <v>339</v>
      </c>
      <c r="K32" s="5" t="s">
        <v>340</v>
      </c>
      <c r="L32" s="5" t="s">
        <v>341</v>
      </c>
      <c r="M32" s="5" t="s">
        <v>342</v>
      </c>
      <c r="N32" s="5" t="s">
        <v>343</v>
      </c>
      <c r="O32" s="6" t="s">
        <v>74</v>
      </c>
      <c r="P32" s="6" t="s">
        <v>74</v>
      </c>
      <c r="Q32" s="6" t="s">
        <v>74</v>
      </c>
      <c r="R32" s="6" t="s">
        <v>74</v>
      </c>
    </row>
    <row r="33" ht="92" customHeight="1" spans="1:18">
      <c r="A33" s="5" t="s">
        <v>344</v>
      </c>
      <c r="B33" s="5">
        <v>581</v>
      </c>
      <c r="C33" s="5" t="s">
        <v>345</v>
      </c>
      <c r="D33" s="5" t="s">
        <v>346</v>
      </c>
      <c r="E33" s="5" t="s">
        <v>345</v>
      </c>
      <c r="F33" s="5" t="s">
        <v>347</v>
      </c>
      <c r="G33" s="5">
        <v>3</v>
      </c>
      <c r="H33" s="5">
        <v>192</v>
      </c>
      <c r="I33" s="5" t="s">
        <v>345</v>
      </c>
      <c r="J33" s="5" t="s">
        <v>348</v>
      </c>
      <c r="K33" s="5" t="s">
        <v>349</v>
      </c>
      <c r="L33" s="5" t="s">
        <v>350</v>
      </c>
      <c r="M33" s="5" t="s">
        <v>351</v>
      </c>
      <c r="N33" s="5" t="s">
        <v>352</v>
      </c>
      <c r="O33" s="6" t="s">
        <v>74</v>
      </c>
      <c r="P33" s="6" t="s">
        <v>74</v>
      </c>
      <c r="Q33" s="6" t="s">
        <v>74</v>
      </c>
      <c r="R33" s="6" t="s">
        <v>74</v>
      </c>
    </row>
  </sheetData>
  <mergeCells count="2">
    <mergeCell ref="A1:R1"/>
    <mergeCell ref="A2:R2"/>
  </mergeCells>
  <conditionalFormatting sqref="O4:O33">
    <cfRule type="cellIs" dxfId="0" priority="1" operator="equal">
      <formula>"合格"</formula>
    </cfRule>
    <cfRule type="cellIs" dxfId="1" priority="2" operator="equal">
      <formula>"不合格"</formula>
    </cfRule>
    <cfRule type="cellIs" dxfId="2" priority="3" operator="equal">
      <formula>"不确定"</formula>
    </cfRule>
  </conditionalFormatting>
  <dataValidations count="2">
    <dataValidation type="list" sqref="O4:O33">
      <formula1>"合格,不合格,不确定"</formula1>
    </dataValidation>
    <dataValidation type="list" sqref="P4:P33">
      <formula1>"实体边界,定义错误,证据不足,别名错误,代码/API边界,重复实体,其他"</formula1>
    </dataValidation>
  </dataValidations>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3"/>
  <sheetViews>
    <sheetView showGridLines="0" tabSelected="1" topLeftCell="G2" workbookViewId="0">
      <selection activeCell="H7" sqref="H7"/>
    </sheetView>
  </sheetViews>
  <sheetFormatPr defaultColWidth="9" defaultRowHeight="14"/>
  <cols>
    <col min="1" max="1" width="10" customWidth="1"/>
    <col min="2" max="2" width="12" customWidth="1"/>
    <col min="3" max="3" width="10" customWidth="1"/>
    <col min="4" max="6" width="22" customWidth="1"/>
    <col min="7" max="7" width="60" customWidth="1"/>
    <col min="8" max="8" width="36" customWidth="1"/>
    <col min="9" max="9" width="13" customWidth="1"/>
    <col min="10" max="10" width="10" customWidth="1"/>
    <col min="11" max="11" width="9" customWidth="1"/>
    <col min="12" max="12" width="18" customWidth="1"/>
    <col min="13" max="13" width="36" customWidth="1"/>
    <col min="14" max="14" width="72" customWidth="1"/>
    <col min="15" max="15" width="44" customWidth="1"/>
    <col min="16" max="16" width="13" customWidth="1"/>
    <col min="17" max="17" width="22" customWidth="1"/>
    <col min="18" max="18" width="34" customWidth="1"/>
    <col min="19" max="19" width="30" customWidth="1"/>
  </cols>
  <sheetData>
    <row r="1" ht="30" customHeight="1" spans="1:19">
      <c r="A1" s="1" t="s">
        <v>353</v>
      </c>
      <c r="B1" s="1"/>
      <c r="C1" s="1"/>
      <c r="D1" s="1"/>
      <c r="E1" s="1"/>
      <c r="F1" s="1"/>
      <c r="G1" s="1"/>
      <c r="H1" s="1"/>
      <c r="I1" s="1"/>
      <c r="J1" s="1"/>
      <c r="K1" s="1"/>
      <c r="L1" s="1"/>
      <c r="M1" s="1"/>
      <c r="N1" s="1"/>
      <c r="O1" s="1"/>
      <c r="P1" s="1"/>
      <c r="Q1" s="1"/>
      <c r="R1" s="1"/>
      <c r="S1" s="1"/>
    </row>
    <row r="2" ht="42" customHeight="1" spans="1:19">
      <c r="A2" s="2" t="s">
        <v>354</v>
      </c>
      <c r="B2" s="2"/>
      <c r="C2" s="2"/>
      <c r="D2" s="2"/>
      <c r="E2" s="2"/>
      <c r="F2" s="2"/>
      <c r="G2" s="2"/>
      <c r="H2" s="2"/>
      <c r="I2" s="2"/>
      <c r="J2" s="2"/>
      <c r="K2" s="2"/>
      <c r="L2" s="2"/>
      <c r="M2" s="2"/>
      <c r="N2" s="2"/>
      <c r="O2" s="2"/>
      <c r="P2" s="2"/>
      <c r="Q2" s="2"/>
      <c r="R2" s="2"/>
      <c r="S2" s="2"/>
    </row>
    <row r="3" ht="34" customHeight="1" spans="1:19">
      <c r="A3" s="3" t="s">
        <v>31</v>
      </c>
      <c r="B3" s="4" t="s">
        <v>355</v>
      </c>
      <c r="C3" s="4" t="s">
        <v>356</v>
      </c>
      <c r="D3" s="4" t="s">
        <v>357</v>
      </c>
      <c r="E3" s="4" t="s">
        <v>358</v>
      </c>
      <c r="F3" s="4" t="s">
        <v>359</v>
      </c>
      <c r="G3" s="4" t="s">
        <v>360</v>
      </c>
      <c r="H3" s="4" t="s">
        <v>361</v>
      </c>
      <c r="I3" s="4" t="s">
        <v>362</v>
      </c>
      <c r="J3" s="4" t="s">
        <v>363</v>
      </c>
      <c r="K3" s="4" t="s">
        <v>38</v>
      </c>
      <c r="L3" s="4" t="s">
        <v>41</v>
      </c>
      <c r="M3" s="4" t="s">
        <v>42</v>
      </c>
      <c r="N3" s="4" t="s">
        <v>43</v>
      </c>
      <c r="O3" s="4" t="s">
        <v>44</v>
      </c>
      <c r="P3" s="4" t="s">
        <v>45</v>
      </c>
      <c r="Q3" s="4" t="s">
        <v>46</v>
      </c>
      <c r="R3" s="4" t="s">
        <v>47</v>
      </c>
      <c r="S3" s="7" t="s">
        <v>48</v>
      </c>
    </row>
    <row r="4" ht="96" customHeight="1" spans="1:19">
      <c r="A4" s="5" t="s">
        <v>364</v>
      </c>
      <c r="B4" s="5">
        <v>41</v>
      </c>
      <c r="C4" s="5">
        <v>40</v>
      </c>
      <c r="D4" s="5" t="s">
        <v>365</v>
      </c>
      <c r="E4" s="5" t="s">
        <v>366</v>
      </c>
      <c r="F4" s="5" t="s">
        <v>367</v>
      </c>
      <c r="G4" s="5" t="s">
        <v>368</v>
      </c>
      <c r="H4" s="5" t="s">
        <v>74</v>
      </c>
      <c r="I4" s="5" t="s">
        <v>369</v>
      </c>
      <c r="J4" s="5" t="s">
        <v>370</v>
      </c>
      <c r="K4" s="5">
        <v>21</v>
      </c>
      <c r="L4" s="5" t="s">
        <v>371</v>
      </c>
      <c r="M4" s="5" t="s">
        <v>372</v>
      </c>
      <c r="N4" s="5" t="s">
        <v>373</v>
      </c>
      <c r="O4" s="5" t="s">
        <v>374</v>
      </c>
      <c r="P4" s="6" t="s">
        <v>74</v>
      </c>
      <c r="Q4" s="6" t="s">
        <v>74</v>
      </c>
      <c r="R4" s="6" t="s">
        <v>74</v>
      </c>
      <c r="S4" s="6" t="s">
        <v>74</v>
      </c>
    </row>
    <row r="5" ht="96" customHeight="1" spans="1:19">
      <c r="A5" s="5" t="s">
        <v>375</v>
      </c>
      <c r="B5" s="5">
        <v>59</v>
      </c>
      <c r="C5" s="5">
        <v>57</v>
      </c>
      <c r="D5" s="5" t="s">
        <v>376</v>
      </c>
      <c r="E5" s="5" t="s">
        <v>377</v>
      </c>
      <c r="F5" s="5" t="s">
        <v>378</v>
      </c>
      <c r="G5" s="5" t="s">
        <v>379</v>
      </c>
      <c r="H5" s="5" t="s">
        <v>74</v>
      </c>
      <c r="I5" s="5" t="s">
        <v>369</v>
      </c>
      <c r="J5" s="5" t="s">
        <v>370</v>
      </c>
      <c r="K5" s="5">
        <v>24</v>
      </c>
      <c r="L5" s="5" t="s">
        <v>380</v>
      </c>
      <c r="M5" s="5" t="s">
        <v>381</v>
      </c>
      <c r="N5" s="5" t="s">
        <v>382</v>
      </c>
      <c r="O5" s="5" t="s">
        <v>383</v>
      </c>
      <c r="P5" s="6" t="s">
        <v>74</v>
      </c>
      <c r="Q5" s="6" t="s">
        <v>74</v>
      </c>
      <c r="R5" s="6" t="s">
        <v>74</v>
      </c>
      <c r="S5" s="6" t="s">
        <v>74</v>
      </c>
    </row>
    <row r="6" ht="96" customHeight="1" spans="1:19">
      <c r="A6" s="5" t="s">
        <v>384</v>
      </c>
      <c r="B6" s="5">
        <v>69</v>
      </c>
      <c r="C6" s="5">
        <v>67</v>
      </c>
      <c r="D6" s="5" t="s">
        <v>385</v>
      </c>
      <c r="E6" s="5" t="s">
        <v>386</v>
      </c>
      <c r="F6" s="5" t="s">
        <v>387</v>
      </c>
      <c r="G6" s="5" t="s">
        <v>388</v>
      </c>
      <c r="H6" s="5" t="s">
        <v>389</v>
      </c>
      <c r="I6" s="5" t="s">
        <v>390</v>
      </c>
      <c r="J6" s="5" t="s">
        <v>370</v>
      </c>
      <c r="K6" s="5">
        <v>26</v>
      </c>
      <c r="L6" s="5" t="s">
        <v>391</v>
      </c>
      <c r="M6" s="5" t="s">
        <v>392</v>
      </c>
      <c r="N6" s="5" t="s">
        <v>393</v>
      </c>
      <c r="O6" s="5" t="s">
        <v>394</v>
      </c>
      <c r="P6" s="6" t="s">
        <v>74</v>
      </c>
      <c r="Q6" s="6" t="s">
        <v>74</v>
      </c>
      <c r="R6" s="6" t="s">
        <v>74</v>
      </c>
      <c r="S6" s="6" t="s">
        <v>74</v>
      </c>
    </row>
    <row r="7" ht="96" customHeight="1" spans="1:19">
      <c r="A7" s="5" t="s">
        <v>395</v>
      </c>
      <c r="B7" s="5">
        <v>110</v>
      </c>
      <c r="C7" s="5">
        <v>107</v>
      </c>
      <c r="D7" s="5" t="s">
        <v>396</v>
      </c>
      <c r="E7" s="5" t="s">
        <v>397</v>
      </c>
      <c r="F7" s="5" t="s">
        <v>398</v>
      </c>
      <c r="G7" s="5" t="s">
        <v>399</v>
      </c>
      <c r="H7" s="5" t="s">
        <v>74</v>
      </c>
      <c r="I7" s="5" t="s">
        <v>369</v>
      </c>
      <c r="J7" s="5" t="s">
        <v>370</v>
      </c>
      <c r="K7" s="5">
        <v>36</v>
      </c>
      <c r="L7" s="5" t="s">
        <v>400</v>
      </c>
      <c r="M7" s="5" t="s">
        <v>401</v>
      </c>
      <c r="N7" s="5" t="s">
        <v>402</v>
      </c>
      <c r="O7" s="5" t="s">
        <v>403</v>
      </c>
      <c r="P7" s="6" t="s">
        <v>74</v>
      </c>
      <c r="Q7" s="6" t="s">
        <v>74</v>
      </c>
      <c r="R7" s="6" t="s">
        <v>74</v>
      </c>
      <c r="S7" s="6" t="s">
        <v>74</v>
      </c>
    </row>
    <row r="8" ht="96" customHeight="1" spans="1:19">
      <c r="A8" s="5" t="s">
        <v>404</v>
      </c>
      <c r="B8" s="5">
        <v>140</v>
      </c>
      <c r="C8" s="5">
        <v>137</v>
      </c>
      <c r="D8" s="5" t="s">
        <v>405</v>
      </c>
      <c r="E8" s="5" t="s">
        <v>406</v>
      </c>
      <c r="F8" s="5" t="s">
        <v>407</v>
      </c>
      <c r="G8" s="5" t="s">
        <v>408</v>
      </c>
      <c r="H8" s="5" t="s">
        <v>74</v>
      </c>
      <c r="I8" s="5" t="s">
        <v>369</v>
      </c>
      <c r="J8" s="5" t="s">
        <v>370</v>
      </c>
      <c r="K8" s="5">
        <v>40</v>
      </c>
      <c r="L8" s="5" t="s">
        <v>409</v>
      </c>
      <c r="M8" s="5" t="s">
        <v>410</v>
      </c>
      <c r="N8" s="5" t="s">
        <v>411</v>
      </c>
      <c r="O8" s="5" t="s">
        <v>412</v>
      </c>
      <c r="P8" s="6" t="s">
        <v>74</v>
      </c>
      <c r="Q8" s="6" t="s">
        <v>74</v>
      </c>
      <c r="R8" s="6" t="s">
        <v>74</v>
      </c>
      <c r="S8" s="6" t="s">
        <v>74</v>
      </c>
    </row>
    <row r="9" ht="96" customHeight="1" spans="1:19">
      <c r="A9" s="5" t="s">
        <v>413</v>
      </c>
      <c r="B9" s="5">
        <v>148</v>
      </c>
      <c r="C9" s="5">
        <v>145</v>
      </c>
      <c r="D9" s="5" t="s">
        <v>414</v>
      </c>
      <c r="E9" s="5" t="s">
        <v>415</v>
      </c>
      <c r="F9" s="5" t="s">
        <v>416</v>
      </c>
      <c r="G9" s="5" t="s">
        <v>417</v>
      </c>
      <c r="H9" s="5" t="s">
        <v>418</v>
      </c>
      <c r="I9" s="5" t="s">
        <v>390</v>
      </c>
      <c r="J9" s="5" t="s">
        <v>370</v>
      </c>
      <c r="K9" s="5">
        <v>41</v>
      </c>
      <c r="L9" s="5" t="s">
        <v>419</v>
      </c>
      <c r="M9" s="5" t="s">
        <v>420</v>
      </c>
      <c r="N9" s="5" t="s">
        <v>421</v>
      </c>
      <c r="O9" s="5" t="s">
        <v>422</v>
      </c>
      <c r="P9" s="6" t="s">
        <v>74</v>
      </c>
      <c r="Q9" s="6" t="s">
        <v>74</v>
      </c>
      <c r="R9" s="6" t="s">
        <v>74</v>
      </c>
      <c r="S9" s="6" t="s">
        <v>74</v>
      </c>
    </row>
    <row r="10" ht="96" customHeight="1" spans="1:19">
      <c r="A10" s="5" t="s">
        <v>423</v>
      </c>
      <c r="B10" s="5">
        <v>149</v>
      </c>
      <c r="C10" s="5">
        <v>146</v>
      </c>
      <c r="D10" s="5" t="s">
        <v>424</v>
      </c>
      <c r="E10" s="5" t="s">
        <v>415</v>
      </c>
      <c r="F10" s="5" t="s">
        <v>416</v>
      </c>
      <c r="G10" s="5" t="s">
        <v>425</v>
      </c>
      <c r="H10" s="5" t="s">
        <v>418</v>
      </c>
      <c r="I10" s="5" t="s">
        <v>390</v>
      </c>
      <c r="J10" s="5" t="s">
        <v>370</v>
      </c>
      <c r="K10" s="5">
        <v>41</v>
      </c>
      <c r="L10" s="5" t="s">
        <v>419</v>
      </c>
      <c r="M10" s="5" t="s">
        <v>420</v>
      </c>
      <c r="N10" s="5" t="s">
        <v>421</v>
      </c>
      <c r="O10" s="5" t="s">
        <v>422</v>
      </c>
      <c r="P10" s="6" t="s">
        <v>74</v>
      </c>
      <c r="Q10" s="6" t="s">
        <v>74</v>
      </c>
      <c r="R10" s="6" t="s">
        <v>74</v>
      </c>
      <c r="S10" s="6" t="s">
        <v>74</v>
      </c>
    </row>
    <row r="11" ht="96" customHeight="1" spans="1:19">
      <c r="A11" s="5" t="s">
        <v>426</v>
      </c>
      <c r="B11" s="5">
        <v>150</v>
      </c>
      <c r="C11" s="5">
        <v>147</v>
      </c>
      <c r="D11" s="5" t="s">
        <v>427</v>
      </c>
      <c r="E11" s="5" t="s">
        <v>428</v>
      </c>
      <c r="F11" s="5" t="s">
        <v>416</v>
      </c>
      <c r="G11" s="5" t="s">
        <v>429</v>
      </c>
      <c r="H11" s="5" t="s">
        <v>430</v>
      </c>
      <c r="I11" s="5" t="s">
        <v>390</v>
      </c>
      <c r="J11" s="5" t="s">
        <v>370</v>
      </c>
      <c r="K11" s="5">
        <v>42</v>
      </c>
      <c r="L11" s="5" t="s">
        <v>431</v>
      </c>
      <c r="M11" s="5" t="s">
        <v>432</v>
      </c>
      <c r="N11" s="5" t="s">
        <v>433</v>
      </c>
      <c r="O11" s="5" t="s">
        <v>434</v>
      </c>
      <c r="P11" s="6" t="s">
        <v>74</v>
      </c>
      <c r="Q11" s="6" t="s">
        <v>74</v>
      </c>
      <c r="R11" s="6" t="s">
        <v>74</v>
      </c>
      <c r="S11" s="6" t="s">
        <v>74</v>
      </c>
    </row>
    <row r="12" ht="96" customHeight="1" spans="1:19">
      <c r="A12" s="5" t="s">
        <v>435</v>
      </c>
      <c r="B12" s="5">
        <v>163</v>
      </c>
      <c r="C12" s="5">
        <v>159</v>
      </c>
      <c r="D12" s="5" t="s">
        <v>436</v>
      </c>
      <c r="E12" s="5" t="s">
        <v>437</v>
      </c>
      <c r="F12" s="5" t="s">
        <v>407</v>
      </c>
      <c r="G12" s="5" t="s">
        <v>438</v>
      </c>
      <c r="H12" s="5" t="s">
        <v>439</v>
      </c>
      <c r="I12" s="5" t="s">
        <v>390</v>
      </c>
      <c r="J12" s="5" t="s">
        <v>370</v>
      </c>
      <c r="K12" s="5">
        <v>42</v>
      </c>
      <c r="L12" s="5" t="s">
        <v>230</v>
      </c>
      <c r="M12" s="5" t="s">
        <v>231</v>
      </c>
      <c r="N12" s="5" t="s">
        <v>232</v>
      </c>
      <c r="O12" s="5" t="s">
        <v>440</v>
      </c>
      <c r="P12" s="6" t="s">
        <v>74</v>
      </c>
      <c r="Q12" s="6" t="s">
        <v>74</v>
      </c>
      <c r="R12" s="6" t="s">
        <v>74</v>
      </c>
      <c r="S12" s="6" t="s">
        <v>74</v>
      </c>
    </row>
    <row r="13" ht="96" customHeight="1" spans="1:19">
      <c r="A13" s="5" t="s">
        <v>441</v>
      </c>
      <c r="B13" s="5">
        <v>178</v>
      </c>
      <c r="C13" s="5">
        <v>174</v>
      </c>
      <c r="D13" s="5" t="s">
        <v>442</v>
      </c>
      <c r="E13" s="5" t="s">
        <v>443</v>
      </c>
      <c r="F13" s="5" t="s">
        <v>444</v>
      </c>
      <c r="G13" s="5" t="s">
        <v>445</v>
      </c>
      <c r="H13" s="5" t="s">
        <v>446</v>
      </c>
      <c r="I13" s="5" t="s">
        <v>390</v>
      </c>
      <c r="J13" s="5" t="s">
        <v>370</v>
      </c>
      <c r="K13" s="5">
        <v>43</v>
      </c>
      <c r="L13" s="5" t="s">
        <v>447</v>
      </c>
      <c r="M13" s="5" t="s">
        <v>448</v>
      </c>
      <c r="N13" s="5" t="s">
        <v>449</v>
      </c>
      <c r="O13" s="5" t="s">
        <v>450</v>
      </c>
      <c r="P13" s="6" t="s">
        <v>74</v>
      </c>
      <c r="Q13" s="6" t="s">
        <v>74</v>
      </c>
      <c r="R13" s="6" t="s">
        <v>74</v>
      </c>
      <c r="S13" s="6" t="s">
        <v>74</v>
      </c>
    </row>
    <row r="14" ht="96" customHeight="1" spans="1:19">
      <c r="A14" s="5" t="s">
        <v>451</v>
      </c>
      <c r="B14" s="5">
        <v>195</v>
      </c>
      <c r="C14" s="5">
        <v>191</v>
      </c>
      <c r="D14" s="5" t="s">
        <v>452</v>
      </c>
      <c r="E14" s="5" t="s">
        <v>453</v>
      </c>
      <c r="F14" s="5" t="s">
        <v>454</v>
      </c>
      <c r="G14" s="5" t="s">
        <v>455</v>
      </c>
      <c r="H14" s="5" t="s">
        <v>456</v>
      </c>
      <c r="I14" s="5" t="s">
        <v>390</v>
      </c>
      <c r="J14" s="5" t="s">
        <v>370</v>
      </c>
      <c r="K14" s="5">
        <v>44</v>
      </c>
      <c r="L14" s="5" t="s">
        <v>457</v>
      </c>
      <c r="M14" s="5" t="s">
        <v>458</v>
      </c>
      <c r="N14" s="5" t="s">
        <v>459</v>
      </c>
      <c r="O14" s="5" t="s">
        <v>460</v>
      </c>
      <c r="P14" s="6" t="s">
        <v>74</v>
      </c>
      <c r="Q14" s="6" t="s">
        <v>74</v>
      </c>
      <c r="R14" s="6" t="s">
        <v>74</v>
      </c>
      <c r="S14" s="6" t="s">
        <v>74</v>
      </c>
    </row>
    <row r="15" ht="96" customHeight="1" spans="1:19">
      <c r="A15" s="5" t="s">
        <v>461</v>
      </c>
      <c r="B15" s="5">
        <v>210</v>
      </c>
      <c r="C15" s="5">
        <v>204</v>
      </c>
      <c r="D15" s="5" t="s">
        <v>462</v>
      </c>
      <c r="E15" s="5" t="s">
        <v>463</v>
      </c>
      <c r="F15" s="5" t="s">
        <v>464</v>
      </c>
      <c r="G15" s="5" t="s">
        <v>465</v>
      </c>
      <c r="H15" s="5" t="s">
        <v>74</v>
      </c>
      <c r="I15" s="5" t="s">
        <v>369</v>
      </c>
      <c r="J15" s="5" t="s">
        <v>370</v>
      </c>
      <c r="K15" s="5">
        <v>48</v>
      </c>
      <c r="L15" s="5" t="s">
        <v>466</v>
      </c>
      <c r="M15" s="5" t="s">
        <v>467</v>
      </c>
      <c r="N15" s="5" t="s">
        <v>468</v>
      </c>
      <c r="O15" s="5" t="s">
        <v>469</v>
      </c>
      <c r="P15" s="6" t="s">
        <v>74</v>
      </c>
      <c r="Q15" s="6" t="s">
        <v>74</v>
      </c>
      <c r="R15" s="6" t="s">
        <v>74</v>
      </c>
      <c r="S15" s="6" t="s">
        <v>74</v>
      </c>
    </row>
    <row r="16" ht="96" customHeight="1" spans="1:19">
      <c r="A16" s="5" t="s">
        <v>470</v>
      </c>
      <c r="B16" s="5">
        <v>263</v>
      </c>
      <c r="C16" s="5">
        <v>254</v>
      </c>
      <c r="D16" s="5" t="s">
        <v>471</v>
      </c>
      <c r="E16" s="5" t="s">
        <v>472</v>
      </c>
      <c r="F16" s="5" t="s">
        <v>473</v>
      </c>
      <c r="G16" s="5" t="s">
        <v>474</v>
      </c>
      <c r="H16" s="5" t="s">
        <v>74</v>
      </c>
      <c r="I16" s="5" t="s">
        <v>369</v>
      </c>
      <c r="J16" s="5" t="s">
        <v>370</v>
      </c>
      <c r="K16" s="5">
        <v>66</v>
      </c>
      <c r="L16" s="5" t="s">
        <v>475</v>
      </c>
      <c r="M16" s="5" t="s">
        <v>476</v>
      </c>
      <c r="N16" s="5" t="s">
        <v>477</v>
      </c>
      <c r="O16" s="5" t="s">
        <v>478</v>
      </c>
      <c r="P16" s="6" t="s">
        <v>74</v>
      </c>
      <c r="Q16" s="6" t="s">
        <v>74</v>
      </c>
      <c r="R16" s="6" t="s">
        <v>74</v>
      </c>
      <c r="S16" s="6" t="s">
        <v>74</v>
      </c>
    </row>
    <row r="17" ht="96" customHeight="1" spans="1:19">
      <c r="A17" s="5" t="s">
        <v>479</v>
      </c>
      <c r="B17" s="5">
        <v>294</v>
      </c>
      <c r="C17" s="5">
        <v>283</v>
      </c>
      <c r="D17" s="5" t="s">
        <v>255</v>
      </c>
      <c r="E17" s="5" t="s">
        <v>480</v>
      </c>
      <c r="F17" s="5" t="s">
        <v>481</v>
      </c>
      <c r="G17" s="5" t="s">
        <v>482</v>
      </c>
      <c r="H17" s="5" t="s">
        <v>483</v>
      </c>
      <c r="I17" s="5" t="s">
        <v>390</v>
      </c>
      <c r="J17" s="5" t="s">
        <v>370</v>
      </c>
      <c r="K17" s="5">
        <v>77</v>
      </c>
      <c r="L17" s="5" t="s">
        <v>484</v>
      </c>
      <c r="M17" s="5" t="s">
        <v>485</v>
      </c>
      <c r="N17" s="5" t="s">
        <v>486</v>
      </c>
      <c r="O17" s="5" t="s">
        <v>487</v>
      </c>
      <c r="P17" s="6" t="s">
        <v>74</v>
      </c>
      <c r="Q17" s="6" t="s">
        <v>74</v>
      </c>
      <c r="R17" s="6" t="s">
        <v>74</v>
      </c>
      <c r="S17" s="6" t="s">
        <v>74</v>
      </c>
    </row>
    <row r="18" ht="96" customHeight="1" spans="1:19">
      <c r="A18" s="5" t="s">
        <v>488</v>
      </c>
      <c r="B18" s="5">
        <v>299</v>
      </c>
      <c r="C18" s="5">
        <v>288</v>
      </c>
      <c r="D18" s="5" t="s">
        <v>376</v>
      </c>
      <c r="E18" s="5" t="s">
        <v>489</v>
      </c>
      <c r="F18" s="5" t="s">
        <v>490</v>
      </c>
      <c r="G18" s="5" t="s">
        <v>491</v>
      </c>
      <c r="H18" s="5" t="s">
        <v>492</v>
      </c>
      <c r="I18" s="5" t="s">
        <v>390</v>
      </c>
      <c r="J18" s="5" t="s">
        <v>370</v>
      </c>
      <c r="K18" s="5">
        <v>79</v>
      </c>
      <c r="L18" s="5" t="s">
        <v>493</v>
      </c>
      <c r="M18" s="5" t="s">
        <v>494</v>
      </c>
      <c r="N18" s="5" t="s">
        <v>495</v>
      </c>
      <c r="O18" s="5" t="s">
        <v>496</v>
      </c>
      <c r="P18" s="6" t="s">
        <v>74</v>
      </c>
      <c r="Q18" s="6" t="s">
        <v>74</v>
      </c>
      <c r="R18" s="6" t="s">
        <v>74</v>
      </c>
      <c r="S18" s="6" t="s">
        <v>74</v>
      </c>
    </row>
    <row r="19" ht="96" customHeight="1" spans="1:19">
      <c r="A19" s="5" t="s">
        <v>497</v>
      </c>
      <c r="B19" s="5">
        <v>342</v>
      </c>
      <c r="C19" s="5">
        <v>328</v>
      </c>
      <c r="D19" s="5" t="s">
        <v>498</v>
      </c>
      <c r="E19" s="5" t="s">
        <v>499</v>
      </c>
      <c r="F19" s="5" t="s">
        <v>500</v>
      </c>
      <c r="G19" s="5" t="s">
        <v>501</v>
      </c>
      <c r="H19" s="5" t="s">
        <v>74</v>
      </c>
      <c r="I19" s="5" t="s">
        <v>369</v>
      </c>
      <c r="J19" s="5" t="s">
        <v>370</v>
      </c>
      <c r="K19" s="5">
        <v>95</v>
      </c>
      <c r="L19" s="5" t="s">
        <v>502</v>
      </c>
      <c r="M19" s="5" t="s">
        <v>503</v>
      </c>
      <c r="N19" s="5" t="s">
        <v>504</v>
      </c>
      <c r="O19" s="5" t="s">
        <v>505</v>
      </c>
      <c r="P19" s="6" t="s">
        <v>74</v>
      </c>
      <c r="Q19" s="6" t="s">
        <v>74</v>
      </c>
      <c r="R19" s="6" t="s">
        <v>74</v>
      </c>
      <c r="S19" s="6" t="s">
        <v>74</v>
      </c>
    </row>
    <row r="20" ht="96" customHeight="1" spans="1:19">
      <c r="A20" s="5" t="s">
        <v>506</v>
      </c>
      <c r="B20" s="5">
        <v>359</v>
      </c>
      <c r="C20" s="5">
        <v>345</v>
      </c>
      <c r="D20" s="5" t="s">
        <v>507</v>
      </c>
      <c r="E20" s="5" t="s">
        <v>480</v>
      </c>
      <c r="F20" s="5" t="s">
        <v>365</v>
      </c>
      <c r="G20" s="5" t="s">
        <v>508</v>
      </c>
      <c r="H20" s="5" t="s">
        <v>74</v>
      </c>
      <c r="I20" s="5" t="s">
        <v>369</v>
      </c>
      <c r="J20" s="5" t="s">
        <v>370</v>
      </c>
      <c r="K20" s="5">
        <v>97</v>
      </c>
      <c r="L20" s="5" t="s">
        <v>509</v>
      </c>
      <c r="M20" s="5" t="s">
        <v>510</v>
      </c>
      <c r="N20" s="5" t="s">
        <v>511</v>
      </c>
      <c r="O20" s="5" t="s">
        <v>512</v>
      </c>
      <c r="P20" s="6" t="s">
        <v>74</v>
      </c>
      <c r="Q20" s="6" t="s">
        <v>74</v>
      </c>
      <c r="R20" s="6" t="s">
        <v>74</v>
      </c>
      <c r="S20" s="6" t="s">
        <v>74</v>
      </c>
    </row>
    <row r="21" ht="96" customHeight="1" spans="1:19">
      <c r="A21" s="5" t="s">
        <v>513</v>
      </c>
      <c r="B21" s="5">
        <v>382</v>
      </c>
      <c r="C21" s="5">
        <v>366</v>
      </c>
      <c r="D21" s="5" t="s">
        <v>514</v>
      </c>
      <c r="E21" s="5" t="s">
        <v>515</v>
      </c>
      <c r="F21" s="5" t="s">
        <v>516</v>
      </c>
      <c r="G21" s="5" t="s">
        <v>517</v>
      </c>
      <c r="H21" s="5" t="s">
        <v>518</v>
      </c>
      <c r="I21" s="5" t="s">
        <v>390</v>
      </c>
      <c r="J21" s="5" t="s">
        <v>370</v>
      </c>
      <c r="K21" s="5">
        <v>108</v>
      </c>
      <c r="L21" s="5" t="s">
        <v>519</v>
      </c>
      <c r="M21" s="5" t="s">
        <v>520</v>
      </c>
      <c r="N21" s="5" t="s">
        <v>521</v>
      </c>
      <c r="O21" s="5" t="s">
        <v>522</v>
      </c>
      <c r="P21" s="6" t="s">
        <v>74</v>
      </c>
      <c r="Q21" s="6" t="s">
        <v>74</v>
      </c>
      <c r="R21" s="6" t="s">
        <v>74</v>
      </c>
      <c r="S21" s="6" t="s">
        <v>74</v>
      </c>
    </row>
    <row r="22" ht="96" customHeight="1" spans="1:19">
      <c r="A22" s="5" t="s">
        <v>523</v>
      </c>
      <c r="B22" s="5">
        <v>411</v>
      </c>
      <c r="C22" s="5">
        <v>395</v>
      </c>
      <c r="D22" s="5" t="s">
        <v>524</v>
      </c>
      <c r="E22" s="5" t="s">
        <v>490</v>
      </c>
      <c r="F22" s="5" t="s">
        <v>525</v>
      </c>
      <c r="G22" s="5" t="s">
        <v>526</v>
      </c>
      <c r="H22" s="5" t="s">
        <v>74</v>
      </c>
      <c r="I22" s="5" t="s">
        <v>369</v>
      </c>
      <c r="J22" s="5" t="s">
        <v>370</v>
      </c>
      <c r="K22" s="5">
        <v>118</v>
      </c>
      <c r="L22" s="5" t="s">
        <v>527</v>
      </c>
      <c r="M22" s="5" t="s">
        <v>528</v>
      </c>
      <c r="N22" s="5" t="s">
        <v>529</v>
      </c>
      <c r="O22" s="5" t="s">
        <v>530</v>
      </c>
      <c r="P22" s="6" t="s">
        <v>74</v>
      </c>
      <c r="Q22" s="6" t="s">
        <v>74</v>
      </c>
      <c r="R22" s="6" t="s">
        <v>74</v>
      </c>
      <c r="S22" s="6" t="s">
        <v>74</v>
      </c>
    </row>
    <row r="23" ht="96" customHeight="1" spans="1:19">
      <c r="A23" s="5" t="s">
        <v>531</v>
      </c>
      <c r="B23" s="5">
        <v>424</v>
      </c>
      <c r="C23" s="5">
        <v>408</v>
      </c>
      <c r="D23" s="5" t="s">
        <v>532</v>
      </c>
      <c r="E23" s="5" t="s">
        <v>533</v>
      </c>
      <c r="F23" s="5" t="s">
        <v>534</v>
      </c>
      <c r="G23" s="5" t="s">
        <v>535</v>
      </c>
      <c r="H23" s="5" t="s">
        <v>536</v>
      </c>
      <c r="I23" s="5" t="s">
        <v>390</v>
      </c>
      <c r="J23" s="5" t="s">
        <v>370</v>
      </c>
      <c r="K23" s="5">
        <v>120</v>
      </c>
      <c r="L23" s="5" t="s">
        <v>537</v>
      </c>
      <c r="M23" s="5" t="s">
        <v>538</v>
      </c>
      <c r="N23" s="5" t="s">
        <v>539</v>
      </c>
      <c r="O23" s="5" t="s">
        <v>540</v>
      </c>
      <c r="P23" s="6" t="s">
        <v>74</v>
      </c>
      <c r="Q23" s="6" t="s">
        <v>74</v>
      </c>
      <c r="R23" s="6" t="s">
        <v>74</v>
      </c>
      <c r="S23" s="6" t="s">
        <v>74</v>
      </c>
    </row>
    <row r="24" ht="96" customHeight="1" spans="1:19">
      <c r="A24" s="5" t="s">
        <v>541</v>
      </c>
      <c r="B24" s="5">
        <v>429</v>
      </c>
      <c r="C24" s="5">
        <v>413</v>
      </c>
      <c r="D24" s="5" t="s">
        <v>542</v>
      </c>
      <c r="E24" s="5" t="s">
        <v>543</v>
      </c>
      <c r="F24" s="5" t="s">
        <v>516</v>
      </c>
      <c r="G24" s="5" t="s">
        <v>544</v>
      </c>
      <c r="H24" s="5" t="s">
        <v>545</v>
      </c>
      <c r="I24" s="5" t="s">
        <v>390</v>
      </c>
      <c r="J24" s="5" t="s">
        <v>370</v>
      </c>
      <c r="K24" s="5">
        <v>121</v>
      </c>
      <c r="L24" s="5" t="s">
        <v>546</v>
      </c>
      <c r="M24" s="5" t="s">
        <v>547</v>
      </c>
      <c r="N24" s="5" t="s">
        <v>548</v>
      </c>
      <c r="O24" s="5" t="s">
        <v>549</v>
      </c>
      <c r="P24" s="6" t="s">
        <v>74</v>
      </c>
      <c r="Q24" s="6" t="s">
        <v>74</v>
      </c>
      <c r="R24" s="6" t="s">
        <v>74</v>
      </c>
      <c r="S24" s="6" t="s">
        <v>74</v>
      </c>
    </row>
    <row r="25" ht="96" customHeight="1" spans="1:19">
      <c r="A25" s="5" t="s">
        <v>550</v>
      </c>
      <c r="B25" s="5">
        <v>461</v>
      </c>
      <c r="C25" s="5">
        <v>445</v>
      </c>
      <c r="D25" s="5" t="s">
        <v>551</v>
      </c>
      <c r="E25" s="5" t="s">
        <v>472</v>
      </c>
      <c r="F25" s="5" t="s">
        <v>552</v>
      </c>
      <c r="G25" s="5" t="s">
        <v>553</v>
      </c>
      <c r="H25" s="5" t="s">
        <v>554</v>
      </c>
      <c r="I25" s="5" t="s">
        <v>390</v>
      </c>
      <c r="J25" s="5" t="s">
        <v>370</v>
      </c>
      <c r="K25" s="5">
        <v>126</v>
      </c>
      <c r="L25" s="5" t="s">
        <v>271</v>
      </c>
      <c r="M25" s="5" t="s">
        <v>272</v>
      </c>
      <c r="N25" s="5" t="s">
        <v>273</v>
      </c>
      <c r="O25" s="5" t="s">
        <v>555</v>
      </c>
      <c r="P25" s="6" t="s">
        <v>74</v>
      </c>
      <c r="Q25" s="6" t="s">
        <v>74</v>
      </c>
      <c r="R25" s="6" t="s">
        <v>74</v>
      </c>
      <c r="S25" s="6" t="s">
        <v>74</v>
      </c>
    </row>
    <row r="26" ht="96" customHeight="1" spans="1:19">
      <c r="A26" s="5" t="s">
        <v>556</v>
      </c>
      <c r="B26" s="5">
        <v>497</v>
      </c>
      <c r="C26" s="5">
        <v>454</v>
      </c>
      <c r="D26" s="5" t="s">
        <v>557</v>
      </c>
      <c r="E26" s="5" t="s">
        <v>558</v>
      </c>
      <c r="F26" s="5" t="s">
        <v>516</v>
      </c>
      <c r="G26" s="5" t="s">
        <v>559</v>
      </c>
      <c r="H26" s="5" t="s">
        <v>74</v>
      </c>
      <c r="I26" s="5" t="s">
        <v>369</v>
      </c>
      <c r="J26" s="5" t="s">
        <v>370</v>
      </c>
      <c r="K26" s="5">
        <v>141</v>
      </c>
      <c r="L26" s="5" t="s">
        <v>560</v>
      </c>
      <c r="M26" s="5" t="s">
        <v>561</v>
      </c>
      <c r="N26" s="5" t="s">
        <v>562</v>
      </c>
      <c r="O26" s="5" t="s">
        <v>563</v>
      </c>
      <c r="P26" s="6" t="s">
        <v>74</v>
      </c>
      <c r="Q26" s="6" t="s">
        <v>74</v>
      </c>
      <c r="R26" s="6" t="s">
        <v>74</v>
      </c>
      <c r="S26" s="6" t="s">
        <v>74</v>
      </c>
    </row>
    <row r="27" ht="96" customHeight="1" spans="1:19">
      <c r="A27" s="5" t="s">
        <v>564</v>
      </c>
      <c r="B27" s="5">
        <v>500</v>
      </c>
      <c r="C27" s="5">
        <v>481</v>
      </c>
      <c r="D27" s="5" t="s">
        <v>565</v>
      </c>
      <c r="E27" s="5" t="s">
        <v>566</v>
      </c>
      <c r="F27" s="5" t="s">
        <v>567</v>
      </c>
      <c r="G27" s="5" t="s">
        <v>568</v>
      </c>
      <c r="H27" s="5" t="s">
        <v>74</v>
      </c>
      <c r="I27" s="5" t="s">
        <v>369</v>
      </c>
      <c r="J27" s="5" t="s">
        <v>370</v>
      </c>
      <c r="K27" s="5">
        <v>141</v>
      </c>
      <c r="L27" s="5" t="s">
        <v>569</v>
      </c>
      <c r="M27" s="5" t="s">
        <v>570</v>
      </c>
      <c r="N27" s="5" t="s">
        <v>571</v>
      </c>
      <c r="O27" s="5" t="s">
        <v>572</v>
      </c>
      <c r="P27" s="6" t="s">
        <v>74</v>
      </c>
      <c r="Q27" s="6" t="s">
        <v>74</v>
      </c>
      <c r="R27" s="6" t="s">
        <v>74</v>
      </c>
      <c r="S27" s="6" t="s">
        <v>74</v>
      </c>
    </row>
    <row r="28" ht="96" customHeight="1" spans="1:19">
      <c r="A28" s="5" t="s">
        <v>573</v>
      </c>
      <c r="B28" s="5">
        <v>512</v>
      </c>
      <c r="C28" s="5">
        <v>492</v>
      </c>
      <c r="D28" s="5" t="s">
        <v>376</v>
      </c>
      <c r="E28" s="5" t="s">
        <v>574</v>
      </c>
      <c r="F28" s="5" t="s">
        <v>525</v>
      </c>
      <c r="G28" s="5" t="s">
        <v>575</v>
      </c>
      <c r="H28" s="5" t="s">
        <v>74</v>
      </c>
      <c r="I28" s="5" t="s">
        <v>369</v>
      </c>
      <c r="J28" s="5" t="s">
        <v>370</v>
      </c>
      <c r="K28" s="5">
        <v>144</v>
      </c>
      <c r="L28" s="5" t="s">
        <v>576</v>
      </c>
      <c r="M28" s="5" t="s">
        <v>577</v>
      </c>
      <c r="N28" s="5" t="s">
        <v>578</v>
      </c>
      <c r="O28" s="5" t="s">
        <v>579</v>
      </c>
      <c r="P28" s="6" t="s">
        <v>74</v>
      </c>
      <c r="Q28" s="6" t="s">
        <v>74</v>
      </c>
      <c r="R28" s="6" t="s">
        <v>74</v>
      </c>
      <c r="S28" s="6" t="s">
        <v>74</v>
      </c>
    </row>
    <row r="29" ht="96" customHeight="1" spans="1:19">
      <c r="A29" s="5" t="s">
        <v>580</v>
      </c>
      <c r="B29" s="5">
        <v>526</v>
      </c>
      <c r="C29" s="5">
        <v>505</v>
      </c>
      <c r="D29" s="5" t="s">
        <v>581</v>
      </c>
      <c r="E29" s="5" t="s">
        <v>582</v>
      </c>
      <c r="F29" s="5" t="s">
        <v>583</v>
      </c>
      <c r="G29" s="5" t="s">
        <v>584</v>
      </c>
      <c r="H29" s="5" t="s">
        <v>585</v>
      </c>
      <c r="I29" s="5" t="s">
        <v>390</v>
      </c>
      <c r="J29" s="5" t="s">
        <v>370</v>
      </c>
      <c r="K29" s="5">
        <v>148</v>
      </c>
      <c r="L29" s="5" t="s">
        <v>586</v>
      </c>
      <c r="M29" s="5" t="s">
        <v>587</v>
      </c>
      <c r="N29" s="5" t="s">
        <v>588</v>
      </c>
      <c r="O29" s="5" t="s">
        <v>589</v>
      </c>
      <c r="P29" s="6" t="s">
        <v>74</v>
      </c>
      <c r="Q29" s="6" t="s">
        <v>74</v>
      </c>
      <c r="R29" s="6" t="s">
        <v>74</v>
      </c>
      <c r="S29" s="6" t="s">
        <v>74</v>
      </c>
    </row>
    <row r="30" ht="96" customHeight="1" spans="1:19">
      <c r="A30" s="5" t="s">
        <v>590</v>
      </c>
      <c r="B30" s="5">
        <v>536</v>
      </c>
      <c r="C30" s="5">
        <v>515</v>
      </c>
      <c r="D30" s="5" t="s">
        <v>591</v>
      </c>
      <c r="E30" s="5" t="s">
        <v>592</v>
      </c>
      <c r="F30" s="5" t="s">
        <v>593</v>
      </c>
      <c r="G30" s="5" t="s">
        <v>594</v>
      </c>
      <c r="H30" s="5" t="s">
        <v>74</v>
      </c>
      <c r="I30" s="5" t="s">
        <v>369</v>
      </c>
      <c r="J30" s="5" t="s">
        <v>370</v>
      </c>
      <c r="K30" s="5">
        <v>152</v>
      </c>
      <c r="L30" s="5" t="s">
        <v>595</v>
      </c>
      <c r="M30" s="5" t="s">
        <v>596</v>
      </c>
      <c r="N30" s="5" t="s">
        <v>597</v>
      </c>
      <c r="O30" s="5" t="s">
        <v>598</v>
      </c>
      <c r="P30" s="6" t="s">
        <v>74</v>
      </c>
      <c r="Q30" s="6" t="s">
        <v>74</v>
      </c>
      <c r="R30" s="6" t="s">
        <v>74</v>
      </c>
      <c r="S30" s="6" t="s">
        <v>74</v>
      </c>
    </row>
    <row r="31" ht="96" customHeight="1" spans="1:19">
      <c r="A31" s="5" t="s">
        <v>599</v>
      </c>
      <c r="B31" s="5">
        <v>541</v>
      </c>
      <c r="C31" s="5">
        <v>520</v>
      </c>
      <c r="D31" s="5" t="s">
        <v>600</v>
      </c>
      <c r="E31" s="5" t="s">
        <v>601</v>
      </c>
      <c r="F31" s="5" t="s">
        <v>602</v>
      </c>
      <c r="G31" s="5" t="s">
        <v>603</v>
      </c>
      <c r="H31" s="5" t="s">
        <v>74</v>
      </c>
      <c r="I31" s="5" t="s">
        <v>369</v>
      </c>
      <c r="J31" s="5" t="s">
        <v>370</v>
      </c>
      <c r="K31" s="5">
        <v>153</v>
      </c>
      <c r="L31" s="5" t="s">
        <v>604</v>
      </c>
      <c r="M31" s="5" t="s">
        <v>605</v>
      </c>
      <c r="N31" s="5" t="s">
        <v>606</v>
      </c>
      <c r="O31" s="5" t="s">
        <v>607</v>
      </c>
      <c r="P31" s="6" t="s">
        <v>74</v>
      </c>
      <c r="Q31" s="6" t="s">
        <v>74</v>
      </c>
      <c r="R31" s="6" t="s">
        <v>74</v>
      </c>
      <c r="S31" s="6" t="s">
        <v>74</v>
      </c>
    </row>
    <row r="32" ht="96" customHeight="1" spans="1:19">
      <c r="A32" s="5" t="s">
        <v>608</v>
      </c>
      <c r="B32" s="5">
        <v>574</v>
      </c>
      <c r="C32" s="5">
        <v>549</v>
      </c>
      <c r="D32" s="5" t="s">
        <v>609</v>
      </c>
      <c r="E32" s="5" t="s">
        <v>610</v>
      </c>
      <c r="F32" s="5" t="s">
        <v>611</v>
      </c>
      <c r="G32" s="5" t="s">
        <v>612</v>
      </c>
      <c r="H32" s="5" t="s">
        <v>613</v>
      </c>
      <c r="I32" s="5" t="s">
        <v>390</v>
      </c>
      <c r="J32" s="5" t="s">
        <v>370</v>
      </c>
      <c r="K32" s="5">
        <v>175</v>
      </c>
      <c r="L32" s="5" t="s">
        <v>614</v>
      </c>
      <c r="M32" s="5" t="s">
        <v>615</v>
      </c>
      <c r="N32" s="5" t="s">
        <v>616</v>
      </c>
      <c r="O32" s="5" t="s">
        <v>617</v>
      </c>
      <c r="P32" s="6" t="s">
        <v>74</v>
      </c>
      <c r="Q32" s="6" t="s">
        <v>74</v>
      </c>
      <c r="R32" s="6" t="s">
        <v>74</v>
      </c>
      <c r="S32" s="6" t="s">
        <v>74</v>
      </c>
    </row>
    <row r="33" ht="96" customHeight="1" spans="1:19">
      <c r="A33" s="5" t="s">
        <v>618</v>
      </c>
      <c r="B33" s="5">
        <v>595</v>
      </c>
      <c r="C33" s="5">
        <v>568</v>
      </c>
      <c r="D33" s="5" t="s">
        <v>619</v>
      </c>
      <c r="E33" s="5" t="s">
        <v>480</v>
      </c>
      <c r="F33" s="5" t="s">
        <v>620</v>
      </c>
      <c r="G33" s="5" t="s">
        <v>621</v>
      </c>
      <c r="H33" s="5" t="s">
        <v>74</v>
      </c>
      <c r="I33" s="5" t="s">
        <v>369</v>
      </c>
      <c r="J33" s="5" t="s">
        <v>370</v>
      </c>
      <c r="K33" s="5">
        <v>187</v>
      </c>
      <c r="L33" s="5" t="s">
        <v>622</v>
      </c>
      <c r="M33" s="5" t="s">
        <v>623</v>
      </c>
      <c r="N33" s="5" t="s">
        <v>624</v>
      </c>
      <c r="O33" s="5" t="s">
        <v>625</v>
      </c>
      <c r="P33" s="6" t="s">
        <v>74</v>
      </c>
      <c r="Q33" s="6" t="s">
        <v>74</v>
      </c>
      <c r="R33" s="6" t="s">
        <v>74</v>
      </c>
      <c r="S33" s="6" t="s">
        <v>74</v>
      </c>
    </row>
  </sheetData>
  <mergeCells count="2">
    <mergeCell ref="A1:S1"/>
    <mergeCell ref="A2:S2"/>
  </mergeCells>
  <conditionalFormatting sqref="P4:P33">
    <cfRule type="cellIs" dxfId="0" priority="1" operator="equal">
      <formula>"合格"</formula>
    </cfRule>
    <cfRule type="cellIs" dxfId="1" priority="2" operator="equal">
      <formula>"不合格"</formula>
    </cfRule>
    <cfRule type="cellIs" dxfId="2" priority="3" operator="equal">
      <formula>"不确定"</formula>
    </cfRule>
  </conditionalFormatting>
  <dataValidations count="2">
    <dataValidation type="list" sqref="P4:P33">
      <formula1>"合格,不合格,不确定"</formula1>
    </dataValidation>
    <dataValidation type="list" sqref="Q4:Q33">
      <formula1>"原文不支持,条件遗漏,范围/数量扩大,时间/版本遗漏,否定/极性错误,端点替换,代码/练习/操作,其他"</formula1>
    </dataValidation>
  </dataValidations>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33"/>
  <sheetViews>
    <sheetView showGridLines="0" workbookViewId="0">
      <selection activeCell="A1" sqref="A1:S1"/>
    </sheetView>
  </sheetViews>
  <sheetFormatPr defaultColWidth="9" defaultRowHeight="14"/>
  <cols>
    <col min="1" max="2" width="10" customWidth="1"/>
    <col min="3" max="3" width="12" customWidth="1"/>
    <col min="4" max="5" width="22" customWidth="1"/>
    <col min="6" max="6" width="14" customWidth="1"/>
    <col min="7" max="7" width="22" customWidth="1"/>
    <col min="8" max="8" width="48" customWidth="1"/>
    <col min="9" max="9" width="60" customWidth="1"/>
    <col min="10" max="10" width="36" customWidth="1"/>
    <col min="11" max="11" width="13" customWidth="1"/>
    <col min="12" max="12" width="9" customWidth="1"/>
    <col min="13" max="13" width="72" customWidth="1"/>
    <col min="14" max="14" width="18" customWidth="1"/>
    <col min="15" max="15" width="36" customWidth="1"/>
    <col min="16" max="16" width="13" customWidth="1"/>
    <col min="17" max="17" width="22" customWidth="1"/>
    <col min="18" max="18" width="34" customWidth="1"/>
    <col min="19" max="19" width="30" customWidth="1"/>
  </cols>
  <sheetData>
    <row r="1" ht="30" customHeight="1" spans="1:19">
      <c r="A1" s="1" t="s">
        <v>626</v>
      </c>
      <c r="B1" s="1"/>
      <c r="C1" s="1"/>
      <c r="D1" s="1"/>
      <c r="E1" s="1"/>
      <c r="F1" s="1"/>
      <c r="G1" s="1"/>
      <c r="H1" s="1"/>
      <c r="I1" s="1"/>
      <c r="J1" s="1"/>
      <c r="K1" s="1"/>
      <c r="L1" s="1"/>
      <c r="M1" s="1"/>
      <c r="N1" s="1"/>
      <c r="O1" s="1"/>
      <c r="P1" s="1"/>
      <c r="Q1" s="1"/>
      <c r="R1" s="1"/>
      <c r="S1" s="1"/>
    </row>
    <row r="2" ht="42" customHeight="1" spans="1:19">
      <c r="A2" s="2" t="s">
        <v>627</v>
      </c>
      <c r="B2" s="2"/>
      <c r="C2" s="2"/>
      <c r="D2" s="2"/>
      <c r="E2" s="2"/>
      <c r="F2" s="2"/>
      <c r="G2" s="2"/>
      <c r="H2" s="2"/>
      <c r="I2" s="2"/>
      <c r="J2" s="2"/>
      <c r="K2" s="2"/>
      <c r="L2" s="2"/>
      <c r="M2" s="2"/>
      <c r="N2" s="2"/>
      <c r="O2" s="2"/>
      <c r="P2" s="2"/>
      <c r="Q2" s="2"/>
      <c r="R2" s="2"/>
      <c r="S2" s="2"/>
    </row>
    <row r="3" ht="34" customHeight="1" spans="1:19">
      <c r="A3" s="3" t="s">
        <v>31</v>
      </c>
      <c r="B3" s="4" t="s">
        <v>356</v>
      </c>
      <c r="C3" s="4" t="s">
        <v>355</v>
      </c>
      <c r="D3" s="4" t="s">
        <v>357</v>
      </c>
      <c r="E3" s="4" t="s">
        <v>358</v>
      </c>
      <c r="F3" s="4" t="s">
        <v>628</v>
      </c>
      <c r="G3" s="4" t="s">
        <v>359</v>
      </c>
      <c r="H3" s="4" t="s">
        <v>629</v>
      </c>
      <c r="I3" s="4" t="s">
        <v>630</v>
      </c>
      <c r="J3" s="4" t="s">
        <v>361</v>
      </c>
      <c r="K3" s="4" t="s">
        <v>362</v>
      </c>
      <c r="L3" s="4" t="s">
        <v>38</v>
      </c>
      <c r="M3" s="4" t="s">
        <v>43</v>
      </c>
      <c r="N3" s="4" t="s">
        <v>41</v>
      </c>
      <c r="O3" s="4" t="s">
        <v>42</v>
      </c>
      <c r="P3" s="4" t="s">
        <v>631</v>
      </c>
      <c r="Q3" s="4" t="s">
        <v>46</v>
      </c>
      <c r="R3" s="4" t="s">
        <v>47</v>
      </c>
      <c r="S3" s="7" t="s">
        <v>48</v>
      </c>
    </row>
    <row r="4" ht="96" customHeight="1" spans="1:19">
      <c r="A4" s="5" t="s">
        <v>632</v>
      </c>
      <c r="B4" s="5">
        <v>28</v>
      </c>
      <c r="C4" s="5">
        <v>28</v>
      </c>
      <c r="D4" s="5" t="s">
        <v>633</v>
      </c>
      <c r="E4" s="5" t="s">
        <v>634</v>
      </c>
      <c r="F4" s="5" t="s">
        <v>635</v>
      </c>
      <c r="G4" s="5" t="s">
        <v>636</v>
      </c>
      <c r="H4" s="5" t="s">
        <v>637</v>
      </c>
      <c r="I4" s="5" t="s">
        <v>638</v>
      </c>
      <c r="J4" s="5" t="s">
        <v>74</v>
      </c>
      <c r="K4" s="5" t="s">
        <v>369</v>
      </c>
      <c r="L4" s="5">
        <v>13</v>
      </c>
      <c r="M4" s="5" t="s">
        <v>639</v>
      </c>
      <c r="N4" s="5" t="s">
        <v>640</v>
      </c>
      <c r="O4" s="5" t="s">
        <v>641</v>
      </c>
      <c r="P4" s="6" t="s">
        <v>74</v>
      </c>
      <c r="Q4" s="6" t="s">
        <v>74</v>
      </c>
      <c r="R4" s="6" t="s">
        <v>74</v>
      </c>
      <c r="S4" s="6" t="s">
        <v>74</v>
      </c>
    </row>
    <row r="5" ht="96" customHeight="1" spans="1:19">
      <c r="A5" s="5" t="s">
        <v>642</v>
      </c>
      <c r="B5" s="5">
        <v>55</v>
      </c>
      <c r="C5" s="5">
        <v>57</v>
      </c>
      <c r="D5" s="5" t="s">
        <v>376</v>
      </c>
      <c r="E5" s="5" t="s">
        <v>643</v>
      </c>
      <c r="F5" s="5" t="s">
        <v>635</v>
      </c>
      <c r="G5" s="5" t="s">
        <v>644</v>
      </c>
      <c r="H5" s="5" t="s">
        <v>645</v>
      </c>
      <c r="I5" s="5" t="s">
        <v>646</v>
      </c>
      <c r="J5" s="5" t="s">
        <v>74</v>
      </c>
      <c r="K5" s="5" t="s">
        <v>369</v>
      </c>
      <c r="L5" s="5">
        <v>24</v>
      </c>
      <c r="M5" s="5" t="s">
        <v>647</v>
      </c>
      <c r="N5" s="5" t="s">
        <v>648</v>
      </c>
      <c r="O5" s="5" t="s">
        <v>649</v>
      </c>
      <c r="P5" s="6" t="s">
        <v>74</v>
      </c>
      <c r="Q5" s="6" t="s">
        <v>74</v>
      </c>
      <c r="R5" s="6" t="s">
        <v>74</v>
      </c>
      <c r="S5" s="6" t="s">
        <v>74</v>
      </c>
    </row>
    <row r="6" ht="96" customHeight="1" spans="1:19">
      <c r="A6" s="5" t="s">
        <v>650</v>
      </c>
      <c r="B6" s="5">
        <v>68</v>
      </c>
      <c r="C6" s="5">
        <v>70</v>
      </c>
      <c r="D6" s="5" t="s">
        <v>452</v>
      </c>
      <c r="E6" s="5" t="s">
        <v>415</v>
      </c>
      <c r="F6" s="5" t="s">
        <v>635</v>
      </c>
      <c r="G6" s="5" t="s">
        <v>651</v>
      </c>
      <c r="H6" s="5" t="s">
        <v>652</v>
      </c>
      <c r="I6" s="5" t="s">
        <v>653</v>
      </c>
      <c r="J6" s="5" t="s">
        <v>74</v>
      </c>
      <c r="K6" s="5" t="s">
        <v>369</v>
      </c>
      <c r="L6" s="5">
        <v>26</v>
      </c>
      <c r="M6" s="5" t="s">
        <v>654</v>
      </c>
      <c r="N6" s="5" t="s">
        <v>655</v>
      </c>
      <c r="O6" s="5" t="s">
        <v>656</v>
      </c>
      <c r="P6" s="6" t="s">
        <v>74</v>
      </c>
      <c r="Q6" s="6" t="s">
        <v>74</v>
      </c>
      <c r="R6" s="6" t="s">
        <v>74</v>
      </c>
      <c r="S6" s="6" t="s">
        <v>74</v>
      </c>
    </row>
    <row r="7" ht="96" customHeight="1" spans="1:19">
      <c r="A7" s="5" t="s">
        <v>657</v>
      </c>
      <c r="B7" s="5">
        <v>130</v>
      </c>
      <c r="C7" s="5">
        <v>133</v>
      </c>
      <c r="D7" s="5" t="s">
        <v>658</v>
      </c>
      <c r="E7" s="5" t="s">
        <v>659</v>
      </c>
      <c r="F7" s="5" t="s">
        <v>635</v>
      </c>
      <c r="G7" s="5" t="s">
        <v>660</v>
      </c>
      <c r="H7" s="5" t="s">
        <v>661</v>
      </c>
      <c r="I7" s="5" t="s">
        <v>662</v>
      </c>
      <c r="J7" s="5" t="s">
        <v>74</v>
      </c>
      <c r="K7" s="5" t="s">
        <v>369</v>
      </c>
      <c r="L7" s="5">
        <v>40</v>
      </c>
      <c r="M7" s="5" t="s">
        <v>663</v>
      </c>
      <c r="N7" s="5" t="s">
        <v>664</v>
      </c>
      <c r="O7" s="5" t="s">
        <v>665</v>
      </c>
      <c r="P7" s="6" t="s">
        <v>74</v>
      </c>
      <c r="Q7" s="6" t="s">
        <v>74</v>
      </c>
      <c r="R7" s="6" t="s">
        <v>74</v>
      </c>
      <c r="S7" s="6" t="s">
        <v>74</v>
      </c>
    </row>
    <row r="8" ht="96" customHeight="1" spans="1:19">
      <c r="A8" s="5" t="s">
        <v>666</v>
      </c>
      <c r="B8" s="5">
        <v>155</v>
      </c>
      <c r="C8" s="5">
        <v>158</v>
      </c>
      <c r="D8" s="5" t="s">
        <v>667</v>
      </c>
      <c r="E8" s="5" t="s">
        <v>566</v>
      </c>
      <c r="F8" s="5" t="s">
        <v>635</v>
      </c>
      <c r="G8" s="5" t="s">
        <v>668</v>
      </c>
      <c r="H8" s="5" t="s">
        <v>669</v>
      </c>
      <c r="I8" s="5" t="s">
        <v>670</v>
      </c>
      <c r="J8" s="5" t="s">
        <v>74</v>
      </c>
      <c r="K8" s="5" t="s">
        <v>369</v>
      </c>
      <c r="L8" s="5">
        <v>42</v>
      </c>
      <c r="M8" s="5" t="s">
        <v>71</v>
      </c>
      <c r="N8" s="5" t="s">
        <v>69</v>
      </c>
      <c r="O8" s="5" t="s">
        <v>70</v>
      </c>
      <c r="P8" s="6" t="s">
        <v>74</v>
      </c>
      <c r="Q8" s="6" t="s">
        <v>74</v>
      </c>
      <c r="R8" s="6" t="s">
        <v>74</v>
      </c>
      <c r="S8" s="6" t="s">
        <v>74</v>
      </c>
    </row>
    <row r="9" ht="96" customHeight="1" spans="1:19">
      <c r="A9" s="5" t="s">
        <v>671</v>
      </c>
      <c r="B9" s="5">
        <v>127</v>
      </c>
      <c r="C9" s="5">
        <v>162</v>
      </c>
      <c r="D9" s="5" t="s">
        <v>672</v>
      </c>
      <c r="E9" s="5" t="s">
        <v>480</v>
      </c>
      <c r="F9" s="5" t="s">
        <v>673</v>
      </c>
      <c r="G9" s="5" t="s">
        <v>407</v>
      </c>
      <c r="H9" s="5" t="s">
        <v>674</v>
      </c>
      <c r="I9" s="5" t="s">
        <v>675</v>
      </c>
      <c r="J9" s="5" t="s">
        <v>676</v>
      </c>
      <c r="K9" s="5" t="s">
        <v>390</v>
      </c>
      <c r="L9" s="5">
        <v>42</v>
      </c>
      <c r="M9" s="5" t="s">
        <v>232</v>
      </c>
      <c r="N9" s="5" t="s">
        <v>230</v>
      </c>
      <c r="O9" s="5" t="s">
        <v>231</v>
      </c>
      <c r="P9" s="6" t="s">
        <v>74</v>
      </c>
      <c r="Q9" s="6" t="s">
        <v>74</v>
      </c>
      <c r="R9" s="6" t="s">
        <v>74</v>
      </c>
      <c r="S9" s="6" t="s">
        <v>74</v>
      </c>
    </row>
    <row r="10" ht="96" customHeight="1" spans="1:19">
      <c r="A10" s="5" t="s">
        <v>677</v>
      </c>
      <c r="B10" s="5">
        <v>165</v>
      </c>
      <c r="C10" s="5">
        <v>169</v>
      </c>
      <c r="D10" s="5" t="s">
        <v>678</v>
      </c>
      <c r="E10" s="5" t="s">
        <v>679</v>
      </c>
      <c r="F10" s="5" t="s">
        <v>635</v>
      </c>
      <c r="G10" s="5" t="s">
        <v>680</v>
      </c>
      <c r="H10" s="5" t="s">
        <v>681</v>
      </c>
      <c r="I10" s="5" t="s">
        <v>682</v>
      </c>
      <c r="J10" s="5" t="s">
        <v>74</v>
      </c>
      <c r="K10" s="5" t="s">
        <v>369</v>
      </c>
      <c r="L10" s="5">
        <v>42</v>
      </c>
      <c r="M10" s="5" t="s">
        <v>232</v>
      </c>
      <c r="N10" s="5" t="s">
        <v>230</v>
      </c>
      <c r="O10" s="5" t="s">
        <v>231</v>
      </c>
      <c r="P10" s="6" t="s">
        <v>74</v>
      </c>
      <c r="Q10" s="6" t="s">
        <v>74</v>
      </c>
      <c r="R10" s="6" t="s">
        <v>74</v>
      </c>
      <c r="S10" s="6" t="s">
        <v>74</v>
      </c>
    </row>
    <row r="11" ht="96" customHeight="1" spans="1:19">
      <c r="A11" s="5" t="s">
        <v>683</v>
      </c>
      <c r="B11" s="5">
        <v>212</v>
      </c>
      <c r="C11" s="5">
        <v>218</v>
      </c>
      <c r="D11" s="5" t="s">
        <v>684</v>
      </c>
      <c r="E11" s="5" t="s">
        <v>415</v>
      </c>
      <c r="F11" s="5" t="s">
        <v>635</v>
      </c>
      <c r="G11" s="5" t="s">
        <v>464</v>
      </c>
      <c r="H11" s="5" t="s">
        <v>685</v>
      </c>
      <c r="I11" s="5" t="s">
        <v>686</v>
      </c>
      <c r="J11" s="5" t="s">
        <v>74</v>
      </c>
      <c r="K11" s="5" t="s">
        <v>369</v>
      </c>
      <c r="L11" s="5">
        <v>48</v>
      </c>
      <c r="M11" s="5" t="s">
        <v>468</v>
      </c>
      <c r="N11" s="5" t="s">
        <v>466</v>
      </c>
      <c r="O11" s="5" t="s">
        <v>467</v>
      </c>
      <c r="P11" s="6" t="s">
        <v>74</v>
      </c>
      <c r="Q11" s="6" t="s">
        <v>74</v>
      </c>
      <c r="R11" s="6" t="s">
        <v>74</v>
      </c>
      <c r="S11" s="6" t="s">
        <v>74</v>
      </c>
    </row>
    <row r="12" ht="96" customHeight="1" spans="1:19">
      <c r="A12" s="5" t="s">
        <v>687</v>
      </c>
      <c r="B12" s="5">
        <v>225</v>
      </c>
      <c r="C12" s="5">
        <v>231</v>
      </c>
      <c r="D12" s="5" t="s">
        <v>688</v>
      </c>
      <c r="E12" s="5" t="s">
        <v>689</v>
      </c>
      <c r="F12" s="5" t="s">
        <v>635</v>
      </c>
      <c r="G12" s="5" t="s">
        <v>690</v>
      </c>
      <c r="H12" s="5" t="s">
        <v>691</v>
      </c>
      <c r="I12" s="5" t="s">
        <v>692</v>
      </c>
      <c r="J12" s="5" t="s">
        <v>693</v>
      </c>
      <c r="K12" s="5" t="s">
        <v>390</v>
      </c>
      <c r="L12" s="5">
        <v>51</v>
      </c>
      <c r="M12" s="5" t="s">
        <v>694</v>
      </c>
      <c r="N12" s="5" t="s">
        <v>695</v>
      </c>
      <c r="O12" s="5" t="s">
        <v>696</v>
      </c>
      <c r="P12" s="6" t="s">
        <v>74</v>
      </c>
      <c r="Q12" s="6" t="s">
        <v>74</v>
      </c>
      <c r="R12" s="6" t="s">
        <v>74</v>
      </c>
      <c r="S12" s="6" t="s">
        <v>74</v>
      </c>
    </row>
    <row r="13" ht="96" customHeight="1" spans="1:19">
      <c r="A13" s="5" t="s">
        <v>697</v>
      </c>
      <c r="B13" s="5">
        <v>272</v>
      </c>
      <c r="C13" s="5">
        <v>281</v>
      </c>
      <c r="D13" s="5" t="s">
        <v>698</v>
      </c>
      <c r="E13" s="5" t="s">
        <v>699</v>
      </c>
      <c r="F13" s="5" t="s">
        <v>673</v>
      </c>
      <c r="G13" s="5" t="s">
        <v>700</v>
      </c>
      <c r="H13" s="5" t="s">
        <v>701</v>
      </c>
      <c r="I13" s="5" t="s">
        <v>702</v>
      </c>
      <c r="J13" s="5" t="s">
        <v>74</v>
      </c>
      <c r="K13" s="5" t="s">
        <v>369</v>
      </c>
      <c r="L13" s="5">
        <v>74</v>
      </c>
      <c r="M13" s="5" t="s">
        <v>703</v>
      </c>
      <c r="N13" s="5" t="s">
        <v>704</v>
      </c>
      <c r="O13" s="5" t="s">
        <v>705</v>
      </c>
      <c r="P13" s="6" t="s">
        <v>74</v>
      </c>
      <c r="Q13" s="6" t="s">
        <v>74</v>
      </c>
      <c r="R13" s="6" t="s">
        <v>74</v>
      </c>
      <c r="S13" s="6" t="s">
        <v>74</v>
      </c>
    </row>
    <row r="14" ht="96" customHeight="1" spans="1:19">
      <c r="A14" s="5" t="s">
        <v>706</v>
      </c>
      <c r="B14" s="5">
        <v>279</v>
      </c>
      <c r="C14" s="5">
        <v>288</v>
      </c>
      <c r="D14" s="5" t="s">
        <v>707</v>
      </c>
      <c r="E14" s="5" t="s">
        <v>708</v>
      </c>
      <c r="F14" s="5" t="s">
        <v>635</v>
      </c>
      <c r="G14" s="5" t="s">
        <v>709</v>
      </c>
      <c r="H14" s="5" t="s">
        <v>710</v>
      </c>
      <c r="I14" s="5" t="s">
        <v>711</v>
      </c>
      <c r="J14" s="5" t="s">
        <v>74</v>
      </c>
      <c r="K14" s="5" t="s">
        <v>369</v>
      </c>
      <c r="L14" s="5">
        <v>76</v>
      </c>
      <c r="M14" s="5" t="s">
        <v>712</v>
      </c>
      <c r="N14" s="5" t="s">
        <v>713</v>
      </c>
      <c r="O14" s="5" t="s">
        <v>714</v>
      </c>
      <c r="P14" s="6" t="s">
        <v>74</v>
      </c>
      <c r="Q14" s="6" t="s">
        <v>74</v>
      </c>
      <c r="R14" s="6" t="s">
        <v>74</v>
      </c>
      <c r="S14" s="6" t="s">
        <v>74</v>
      </c>
    </row>
    <row r="15" ht="96" customHeight="1" spans="1:19">
      <c r="A15" s="5" t="s">
        <v>715</v>
      </c>
      <c r="B15" s="5">
        <v>337</v>
      </c>
      <c r="C15" s="5">
        <v>351</v>
      </c>
      <c r="D15" s="5" t="s">
        <v>365</v>
      </c>
      <c r="E15" s="5" t="s">
        <v>716</v>
      </c>
      <c r="F15" s="5" t="s">
        <v>635</v>
      </c>
      <c r="G15" s="5" t="s">
        <v>498</v>
      </c>
      <c r="H15" s="5" t="s">
        <v>717</v>
      </c>
      <c r="I15" s="5" t="s">
        <v>718</v>
      </c>
      <c r="J15" s="5" t="s">
        <v>74</v>
      </c>
      <c r="K15" s="5" t="s">
        <v>369</v>
      </c>
      <c r="L15" s="5">
        <v>96</v>
      </c>
      <c r="M15" s="5" t="s">
        <v>719</v>
      </c>
      <c r="N15" s="5" t="s">
        <v>720</v>
      </c>
      <c r="O15" s="5" t="s">
        <v>721</v>
      </c>
      <c r="P15" s="6" t="s">
        <v>74</v>
      </c>
      <c r="Q15" s="6" t="s">
        <v>74</v>
      </c>
      <c r="R15" s="6" t="s">
        <v>74</v>
      </c>
      <c r="S15" s="6" t="s">
        <v>74</v>
      </c>
    </row>
    <row r="16" ht="96" customHeight="1" spans="1:19">
      <c r="A16" s="5" t="s">
        <v>722</v>
      </c>
      <c r="B16" s="5">
        <v>338</v>
      </c>
      <c r="C16" s="5">
        <v>352</v>
      </c>
      <c r="D16" s="5" t="s">
        <v>723</v>
      </c>
      <c r="E16" s="5" t="s">
        <v>724</v>
      </c>
      <c r="F16" s="5" t="s">
        <v>635</v>
      </c>
      <c r="G16" s="5" t="s">
        <v>365</v>
      </c>
      <c r="H16" s="5" t="s">
        <v>725</v>
      </c>
      <c r="I16" s="5" t="s">
        <v>726</v>
      </c>
      <c r="J16" s="5" t="s">
        <v>727</v>
      </c>
      <c r="K16" s="5" t="s">
        <v>390</v>
      </c>
      <c r="L16" s="5">
        <v>96</v>
      </c>
      <c r="M16" s="5" t="s">
        <v>719</v>
      </c>
      <c r="N16" s="5" t="s">
        <v>720</v>
      </c>
      <c r="O16" s="5" t="s">
        <v>721</v>
      </c>
      <c r="P16" s="6" t="s">
        <v>74</v>
      </c>
      <c r="Q16" s="6" t="s">
        <v>74</v>
      </c>
      <c r="R16" s="6" t="s">
        <v>74</v>
      </c>
      <c r="S16" s="6" t="s">
        <v>74</v>
      </c>
    </row>
    <row r="17" ht="96" customHeight="1" spans="1:19">
      <c r="A17" s="5" t="s">
        <v>728</v>
      </c>
      <c r="B17" s="5">
        <v>371</v>
      </c>
      <c r="C17" s="5">
        <v>387</v>
      </c>
      <c r="D17" s="5" t="s">
        <v>729</v>
      </c>
      <c r="E17" s="5" t="s">
        <v>730</v>
      </c>
      <c r="F17" s="5" t="s">
        <v>635</v>
      </c>
      <c r="G17" s="5" t="s">
        <v>516</v>
      </c>
      <c r="H17" s="5" t="s">
        <v>731</v>
      </c>
      <c r="I17" s="5" t="s">
        <v>732</v>
      </c>
      <c r="J17" s="5" t="s">
        <v>518</v>
      </c>
      <c r="K17" s="5" t="s">
        <v>390</v>
      </c>
      <c r="L17" s="5">
        <v>108</v>
      </c>
      <c r="M17" s="5" t="s">
        <v>521</v>
      </c>
      <c r="N17" s="5" t="s">
        <v>519</v>
      </c>
      <c r="O17" s="5" t="s">
        <v>520</v>
      </c>
      <c r="P17" s="6" t="s">
        <v>74</v>
      </c>
      <c r="Q17" s="6" t="s">
        <v>74</v>
      </c>
      <c r="R17" s="6" t="s">
        <v>74</v>
      </c>
      <c r="S17" s="6" t="s">
        <v>74</v>
      </c>
    </row>
    <row r="18" ht="96" customHeight="1" spans="1:19">
      <c r="A18" s="5" t="s">
        <v>733</v>
      </c>
      <c r="B18" s="5">
        <v>379</v>
      </c>
      <c r="C18" s="5">
        <v>395</v>
      </c>
      <c r="D18" s="5" t="s">
        <v>600</v>
      </c>
      <c r="E18" s="5" t="s">
        <v>734</v>
      </c>
      <c r="F18" s="5" t="s">
        <v>635</v>
      </c>
      <c r="G18" s="5" t="s">
        <v>735</v>
      </c>
      <c r="H18" s="5" t="s">
        <v>736</v>
      </c>
      <c r="I18" s="5" t="s">
        <v>737</v>
      </c>
      <c r="J18" s="5" t="s">
        <v>738</v>
      </c>
      <c r="K18" s="5" t="s">
        <v>390</v>
      </c>
      <c r="L18" s="5">
        <v>112</v>
      </c>
      <c r="M18" s="5" t="s">
        <v>739</v>
      </c>
      <c r="N18" s="5" t="s">
        <v>740</v>
      </c>
      <c r="O18" s="5" t="s">
        <v>741</v>
      </c>
      <c r="P18" s="6" t="s">
        <v>74</v>
      </c>
      <c r="Q18" s="6" t="s">
        <v>74</v>
      </c>
      <c r="R18" s="6" t="s">
        <v>74</v>
      </c>
      <c r="S18" s="6" t="s">
        <v>74</v>
      </c>
    </row>
    <row r="19" ht="96" customHeight="1" spans="1:19">
      <c r="A19" s="5" t="s">
        <v>742</v>
      </c>
      <c r="B19" s="5">
        <v>390</v>
      </c>
      <c r="C19" s="5">
        <v>406</v>
      </c>
      <c r="D19" s="5" t="s">
        <v>743</v>
      </c>
      <c r="E19" s="5" t="s">
        <v>744</v>
      </c>
      <c r="F19" s="5" t="s">
        <v>635</v>
      </c>
      <c r="G19" s="5" t="s">
        <v>745</v>
      </c>
      <c r="H19" s="5" t="s">
        <v>746</v>
      </c>
      <c r="I19" s="5" t="s">
        <v>747</v>
      </c>
      <c r="J19" s="5" t="s">
        <v>74</v>
      </c>
      <c r="K19" s="5" t="s">
        <v>369</v>
      </c>
      <c r="L19" s="5">
        <v>115</v>
      </c>
      <c r="M19" s="5" t="s">
        <v>748</v>
      </c>
      <c r="N19" s="5" t="s">
        <v>749</v>
      </c>
      <c r="O19" s="5" t="s">
        <v>750</v>
      </c>
      <c r="P19" s="6" t="s">
        <v>74</v>
      </c>
      <c r="Q19" s="6" t="s">
        <v>74</v>
      </c>
      <c r="R19" s="6" t="s">
        <v>74</v>
      </c>
      <c r="S19" s="6" t="s">
        <v>74</v>
      </c>
    </row>
    <row r="20" ht="96" customHeight="1" spans="1:19">
      <c r="A20" s="5" t="s">
        <v>751</v>
      </c>
      <c r="B20" s="5">
        <v>391</v>
      </c>
      <c r="C20" s="5">
        <v>407</v>
      </c>
      <c r="D20" s="5" t="s">
        <v>600</v>
      </c>
      <c r="E20" s="5" t="s">
        <v>752</v>
      </c>
      <c r="F20" s="5" t="s">
        <v>635</v>
      </c>
      <c r="G20" s="5" t="s">
        <v>552</v>
      </c>
      <c r="H20" s="5" t="s">
        <v>753</v>
      </c>
      <c r="I20" s="5" t="s">
        <v>754</v>
      </c>
      <c r="J20" s="5" t="s">
        <v>74</v>
      </c>
      <c r="K20" s="5" t="s">
        <v>369</v>
      </c>
      <c r="L20" s="5">
        <v>117</v>
      </c>
      <c r="M20" s="5" t="s">
        <v>755</v>
      </c>
      <c r="N20" s="5" t="s">
        <v>756</v>
      </c>
      <c r="O20" s="5" t="s">
        <v>757</v>
      </c>
      <c r="P20" s="6" t="s">
        <v>74</v>
      </c>
      <c r="Q20" s="6" t="s">
        <v>74</v>
      </c>
      <c r="R20" s="6" t="s">
        <v>74</v>
      </c>
      <c r="S20" s="6" t="s">
        <v>74</v>
      </c>
    </row>
    <row r="21" ht="96" customHeight="1" spans="1:19">
      <c r="A21" s="5" t="s">
        <v>758</v>
      </c>
      <c r="B21" s="5">
        <v>415</v>
      </c>
      <c r="C21" s="5">
        <v>431</v>
      </c>
      <c r="D21" s="5" t="s">
        <v>602</v>
      </c>
      <c r="E21" s="5" t="s">
        <v>759</v>
      </c>
      <c r="F21" s="5" t="s">
        <v>635</v>
      </c>
      <c r="G21" s="5" t="s">
        <v>760</v>
      </c>
      <c r="H21" s="5" t="s">
        <v>761</v>
      </c>
      <c r="I21" s="5" t="s">
        <v>762</v>
      </c>
      <c r="J21" s="5" t="s">
        <v>74</v>
      </c>
      <c r="K21" s="5" t="s">
        <v>369</v>
      </c>
      <c r="L21" s="5">
        <v>121</v>
      </c>
      <c r="M21" s="5" t="s">
        <v>763</v>
      </c>
      <c r="N21" s="5" t="s">
        <v>764</v>
      </c>
      <c r="O21" s="5" t="s">
        <v>765</v>
      </c>
      <c r="P21" s="6" t="s">
        <v>74</v>
      </c>
      <c r="Q21" s="6" t="s">
        <v>74</v>
      </c>
      <c r="R21" s="6" t="s">
        <v>74</v>
      </c>
      <c r="S21" s="6" t="s">
        <v>74</v>
      </c>
    </row>
    <row r="22" ht="96" customHeight="1" spans="1:19">
      <c r="A22" s="5" t="s">
        <v>766</v>
      </c>
      <c r="B22" s="5">
        <v>421</v>
      </c>
      <c r="C22" s="5">
        <v>437</v>
      </c>
      <c r="D22" s="5" t="s">
        <v>416</v>
      </c>
      <c r="E22" s="5" t="s">
        <v>767</v>
      </c>
      <c r="F22" s="5" t="s">
        <v>635</v>
      </c>
      <c r="G22" s="5" t="s">
        <v>768</v>
      </c>
      <c r="H22" s="5" t="s">
        <v>769</v>
      </c>
      <c r="I22" s="5" t="s">
        <v>770</v>
      </c>
      <c r="J22" s="5" t="s">
        <v>74</v>
      </c>
      <c r="K22" s="5" t="s">
        <v>369</v>
      </c>
      <c r="L22" s="5">
        <v>122</v>
      </c>
      <c r="M22" s="5" t="s">
        <v>771</v>
      </c>
      <c r="N22" s="5" t="s">
        <v>772</v>
      </c>
      <c r="O22" s="5" t="s">
        <v>773</v>
      </c>
      <c r="P22" s="6" t="s">
        <v>74</v>
      </c>
      <c r="Q22" s="6" t="s">
        <v>74</v>
      </c>
      <c r="R22" s="6" t="s">
        <v>74</v>
      </c>
      <c r="S22" s="6" t="s">
        <v>74</v>
      </c>
    </row>
    <row r="23" ht="96" customHeight="1" spans="1:19">
      <c r="A23" s="5" t="s">
        <v>774</v>
      </c>
      <c r="B23" s="5">
        <v>431</v>
      </c>
      <c r="C23" s="5">
        <v>447</v>
      </c>
      <c r="D23" s="5" t="s">
        <v>775</v>
      </c>
      <c r="E23" s="5" t="s">
        <v>744</v>
      </c>
      <c r="F23" s="5" t="s">
        <v>635</v>
      </c>
      <c r="G23" s="5" t="s">
        <v>776</v>
      </c>
      <c r="H23" s="5" t="s">
        <v>777</v>
      </c>
      <c r="I23" s="5" t="s">
        <v>778</v>
      </c>
      <c r="J23" s="5" t="s">
        <v>74</v>
      </c>
      <c r="K23" s="5" t="s">
        <v>369</v>
      </c>
      <c r="L23" s="5">
        <v>124</v>
      </c>
      <c r="M23" s="5" t="s">
        <v>779</v>
      </c>
      <c r="N23" s="5" t="s">
        <v>780</v>
      </c>
      <c r="O23" s="5" t="s">
        <v>781</v>
      </c>
      <c r="P23" s="6" t="s">
        <v>74</v>
      </c>
      <c r="Q23" s="6" t="s">
        <v>74</v>
      </c>
      <c r="R23" s="6" t="s">
        <v>74</v>
      </c>
      <c r="S23" s="6" t="s">
        <v>74</v>
      </c>
    </row>
    <row r="24" ht="96" customHeight="1" spans="1:19">
      <c r="A24" s="5" t="s">
        <v>782</v>
      </c>
      <c r="B24" s="5">
        <v>451</v>
      </c>
      <c r="C24" s="5">
        <v>467</v>
      </c>
      <c r="D24" s="5" t="s">
        <v>783</v>
      </c>
      <c r="E24" s="5" t="s">
        <v>533</v>
      </c>
      <c r="F24" s="5" t="s">
        <v>635</v>
      </c>
      <c r="G24" s="5" t="s">
        <v>534</v>
      </c>
      <c r="H24" s="5" t="s">
        <v>784</v>
      </c>
      <c r="I24" s="5" t="s">
        <v>785</v>
      </c>
      <c r="J24" s="5" t="s">
        <v>786</v>
      </c>
      <c r="K24" s="5" t="s">
        <v>390</v>
      </c>
      <c r="L24" s="5">
        <v>129</v>
      </c>
      <c r="M24" s="5" t="s">
        <v>787</v>
      </c>
      <c r="N24" s="5" t="s">
        <v>788</v>
      </c>
      <c r="O24" s="5" t="s">
        <v>789</v>
      </c>
      <c r="P24" s="6" t="s">
        <v>74</v>
      </c>
      <c r="Q24" s="6" t="s">
        <v>74</v>
      </c>
      <c r="R24" s="6" t="s">
        <v>74</v>
      </c>
      <c r="S24" s="6" t="s">
        <v>74</v>
      </c>
    </row>
    <row r="25" ht="96" customHeight="1" spans="1:19">
      <c r="A25" s="5" t="s">
        <v>790</v>
      </c>
      <c r="B25" s="5">
        <v>457</v>
      </c>
      <c r="C25" s="5">
        <v>473</v>
      </c>
      <c r="D25" s="5" t="s">
        <v>768</v>
      </c>
      <c r="E25" s="5" t="s">
        <v>601</v>
      </c>
      <c r="F25" s="5" t="s">
        <v>635</v>
      </c>
      <c r="G25" s="5" t="s">
        <v>791</v>
      </c>
      <c r="H25" s="5" t="s">
        <v>792</v>
      </c>
      <c r="I25" s="5" t="s">
        <v>793</v>
      </c>
      <c r="J25" s="5" t="s">
        <v>74</v>
      </c>
      <c r="K25" s="5" t="s">
        <v>369</v>
      </c>
      <c r="L25" s="5">
        <v>131</v>
      </c>
      <c r="M25" s="5" t="s">
        <v>794</v>
      </c>
      <c r="N25" s="5" t="s">
        <v>795</v>
      </c>
      <c r="O25" s="5" t="s">
        <v>796</v>
      </c>
      <c r="P25" s="6" t="s">
        <v>74</v>
      </c>
      <c r="Q25" s="6" t="s">
        <v>74</v>
      </c>
      <c r="R25" s="6" t="s">
        <v>74</v>
      </c>
      <c r="S25" s="6" t="s">
        <v>74</v>
      </c>
    </row>
    <row r="26" ht="96" customHeight="1" spans="1:19">
      <c r="A26" s="5" t="s">
        <v>797</v>
      </c>
      <c r="B26" s="5">
        <v>482</v>
      </c>
      <c r="C26" s="5">
        <v>501</v>
      </c>
      <c r="D26" s="5" t="s">
        <v>798</v>
      </c>
      <c r="E26" s="5" t="s">
        <v>601</v>
      </c>
      <c r="F26" s="5" t="s">
        <v>635</v>
      </c>
      <c r="G26" s="5" t="s">
        <v>799</v>
      </c>
      <c r="H26" s="5" t="s">
        <v>800</v>
      </c>
      <c r="I26" s="5" t="s">
        <v>801</v>
      </c>
      <c r="J26" s="5" t="s">
        <v>74</v>
      </c>
      <c r="K26" s="5" t="s">
        <v>369</v>
      </c>
      <c r="L26" s="5">
        <v>141</v>
      </c>
      <c r="M26" s="5" t="s">
        <v>802</v>
      </c>
      <c r="N26" s="5" t="s">
        <v>803</v>
      </c>
      <c r="O26" s="5" t="s">
        <v>804</v>
      </c>
      <c r="P26" s="6" t="s">
        <v>74</v>
      </c>
      <c r="Q26" s="6" t="s">
        <v>74</v>
      </c>
      <c r="R26" s="6" t="s">
        <v>74</v>
      </c>
      <c r="S26" s="6" t="s">
        <v>74</v>
      </c>
    </row>
    <row r="27" ht="96" customHeight="1" spans="1:19">
      <c r="A27" s="5" t="s">
        <v>805</v>
      </c>
      <c r="B27" s="5">
        <v>510</v>
      </c>
      <c r="C27" s="5">
        <v>531</v>
      </c>
      <c r="D27" s="5" t="s">
        <v>806</v>
      </c>
      <c r="E27" s="5" t="s">
        <v>807</v>
      </c>
      <c r="F27" s="5" t="s">
        <v>635</v>
      </c>
      <c r="G27" s="5" t="s">
        <v>808</v>
      </c>
      <c r="H27" s="5" t="s">
        <v>809</v>
      </c>
      <c r="I27" s="5" t="s">
        <v>810</v>
      </c>
      <c r="J27" s="5" t="s">
        <v>811</v>
      </c>
      <c r="K27" s="5" t="s">
        <v>369</v>
      </c>
      <c r="L27" s="5">
        <v>151</v>
      </c>
      <c r="M27" s="5" t="s">
        <v>812</v>
      </c>
      <c r="N27" s="5" t="s">
        <v>813</v>
      </c>
      <c r="O27" s="5" t="s">
        <v>814</v>
      </c>
      <c r="P27" s="6" t="s">
        <v>74</v>
      </c>
      <c r="Q27" s="6" t="s">
        <v>74</v>
      </c>
      <c r="R27" s="6" t="s">
        <v>74</v>
      </c>
      <c r="S27" s="6" t="s">
        <v>74</v>
      </c>
    </row>
    <row r="28" ht="96" customHeight="1" spans="1:19">
      <c r="A28" s="5" t="s">
        <v>815</v>
      </c>
      <c r="B28" s="5">
        <v>517</v>
      </c>
      <c r="C28" s="5">
        <v>538</v>
      </c>
      <c r="D28" s="5" t="s">
        <v>808</v>
      </c>
      <c r="E28" s="5" t="s">
        <v>533</v>
      </c>
      <c r="F28" s="5" t="s">
        <v>635</v>
      </c>
      <c r="G28" s="5" t="s">
        <v>593</v>
      </c>
      <c r="H28" s="5" t="s">
        <v>816</v>
      </c>
      <c r="I28" s="5" t="s">
        <v>817</v>
      </c>
      <c r="J28" s="5" t="s">
        <v>74</v>
      </c>
      <c r="K28" s="5" t="s">
        <v>369</v>
      </c>
      <c r="L28" s="5">
        <v>152</v>
      </c>
      <c r="M28" s="5" t="s">
        <v>818</v>
      </c>
      <c r="N28" s="5" t="s">
        <v>819</v>
      </c>
      <c r="O28" s="5" t="s">
        <v>820</v>
      </c>
      <c r="P28" s="6" t="s">
        <v>74</v>
      </c>
      <c r="Q28" s="6" t="s">
        <v>74</v>
      </c>
      <c r="R28" s="6" t="s">
        <v>74</v>
      </c>
      <c r="S28" s="6" t="s">
        <v>74</v>
      </c>
    </row>
    <row r="29" ht="96" customHeight="1" spans="1:19">
      <c r="A29" s="5" t="s">
        <v>821</v>
      </c>
      <c r="B29" s="5">
        <v>522</v>
      </c>
      <c r="C29" s="5">
        <v>543</v>
      </c>
      <c r="D29" s="5" t="s">
        <v>822</v>
      </c>
      <c r="E29" s="5" t="s">
        <v>823</v>
      </c>
      <c r="F29" s="5" t="s">
        <v>635</v>
      </c>
      <c r="G29" s="5" t="s">
        <v>824</v>
      </c>
      <c r="H29" s="5" t="s">
        <v>825</v>
      </c>
      <c r="I29" s="5" t="s">
        <v>826</v>
      </c>
      <c r="J29" s="5" t="s">
        <v>74</v>
      </c>
      <c r="K29" s="5" t="s">
        <v>369</v>
      </c>
      <c r="L29" s="5">
        <v>154</v>
      </c>
      <c r="M29" s="5" t="s">
        <v>827</v>
      </c>
      <c r="N29" s="5" t="s">
        <v>828</v>
      </c>
      <c r="O29" s="5" t="s">
        <v>829</v>
      </c>
      <c r="P29" s="6" t="s">
        <v>74</v>
      </c>
      <c r="Q29" s="6" t="s">
        <v>74</v>
      </c>
      <c r="R29" s="6" t="s">
        <v>74</v>
      </c>
      <c r="S29" s="6" t="s">
        <v>74</v>
      </c>
    </row>
    <row r="30" ht="96" customHeight="1" spans="1:19">
      <c r="A30" s="5" t="s">
        <v>830</v>
      </c>
      <c r="B30" s="5">
        <v>534</v>
      </c>
      <c r="C30" s="5">
        <v>555</v>
      </c>
      <c r="D30" s="5" t="s">
        <v>831</v>
      </c>
      <c r="E30" s="5" t="s">
        <v>832</v>
      </c>
      <c r="F30" s="5" t="s">
        <v>635</v>
      </c>
      <c r="G30" s="5" t="s">
        <v>833</v>
      </c>
      <c r="H30" s="5" t="s">
        <v>834</v>
      </c>
      <c r="I30" s="5" t="s">
        <v>835</v>
      </c>
      <c r="J30" s="5" t="s">
        <v>836</v>
      </c>
      <c r="K30" s="5" t="s">
        <v>390</v>
      </c>
      <c r="L30" s="5">
        <v>159</v>
      </c>
      <c r="M30" s="5" t="s">
        <v>837</v>
      </c>
      <c r="N30" s="5" t="s">
        <v>838</v>
      </c>
      <c r="O30" s="5" t="s">
        <v>839</v>
      </c>
      <c r="P30" s="6" t="s">
        <v>74</v>
      </c>
      <c r="Q30" s="6" t="s">
        <v>74</v>
      </c>
      <c r="R30" s="6" t="s">
        <v>74</v>
      </c>
      <c r="S30" s="6" t="s">
        <v>74</v>
      </c>
    </row>
    <row r="31" ht="96" customHeight="1" spans="1:19">
      <c r="A31" s="5" t="s">
        <v>840</v>
      </c>
      <c r="B31" s="5">
        <v>556</v>
      </c>
      <c r="C31" s="5">
        <v>582</v>
      </c>
      <c r="D31" s="5" t="s">
        <v>376</v>
      </c>
      <c r="E31" s="5" t="s">
        <v>601</v>
      </c>
      <c r="F31" s="5" t="s">
        <v>635</v>
      </c>
      <c r="G31" s="5" t="s">
        <v>50</v>
      </c>
      <c r="H31" s="5" t="s">
        <v>841</v>
      </c>
      <c r="I31" s="5" t="s">
        <v>842</v>
      </c>
      <c r="J31" s="5" t="s">
        <v>74</v>
      </c>
      <c r="K31" s="5" t="s">
        <v>369</v>
      </c>
      <c r="L31" s="5">
        <v>178</v>
      </c>
      <c r="M31" s="5" t="s">
        <v>843</v>
      </c>
      <c r="N31" s="5" t="s">
        <v>844</v>
      </c>
      <c r="O31" s="5" t="s">
        <v>845</v>
      </c>
      <c r="P31" s="6" t="s">
        <v>74</v>
      </c>
      <c r="Q31" s="6" t="s">
        <v>74</v>
      </c>
      <c r="R31" s="6" t="s">
        <v>74</v>
      </c>
      <c r="S31" s="6" t="s">
        <v>74</v>
      </c>
    </row>
    <row r="32" ht="96" customHeight="1" spans="1:19">
      <c r="A32" s="5" t="s">
        <v>846</v>
      </c>
      <c r="B32" s="5">
        <v>591</v>
      </c>
      <c r="C32" s="5">
        <v>618</v>
      </c>
      <c r="D32" s="5" t="s">
        <v>847</v>
      </c>
      <c r="E32" s="5" t="s">
        <v>848</v>
      </c>
      <c r="F32" s="5" t="s">
        <v>635</v>
      </c>
      <c r="G32" s="5" t="s">
        <v>345</v>
      </c>
      <c r="H32" s="5" t="s">
        <v>849</v>
      </c>
      <c r="I32" s="5" t="s">
        <v>850</v>
      </c>
      <c r="J32" s="5" t="s">
        <v>851</v>
      </c>
      <c r="K32" s="5" t="s">
        <v>390</v>
      </c>
      <c r="L32" s="5">
        <v>192</v>
      </c>
      <c r="M32" s="5" t="s">
        <v>351</v>
      </c>
      <c r="N32" s="5" t="s">
        <v>349</v>
      </c>
      <c r="O32" s="5" t="s">
        <v>350</v>
      </c>
      <c r="P32" s="6" t="s">
        <v>74</v>
      </c>
      <c r="Q32" s="6" t="s">
        <v>74</v>
      </c>
      <c r="R32" s="6" t="s">
        <v>74</v>
      </c>
      <c r="S32" s="6" t="s">
        <v>74</v>
      </c>
    </row>
    <row r="33" ht="96" customHeight="1" spans="1:19">
      <c r="A33" s="5" t="s">
        <v>852</v>
      </c>
      <c r="B33" s="5">
        <v>596</v>
      </c>
      <c r="C33" s="5">
        <v>623</v>
      </c>
      <c r="D33" s="5" t="s">
        <v>853</v>
      </c>
      <c r="E33" s="5" t="s">
        <v>854</v>
      </c>
      <c r="F33" s="5" t="s">
        <v>635</v>
      </c>
      <c r="G33" s="5" t="s">
        <v>743</v>
      </c>
      <c r="H33" s="5" t="s">
        <v>855</v>
      </c>
      <c r="I33" s="5" t="s">
        <v>856</v>
      </c>
      <c r="J33" s="5" t="s">
        <v>857</v>
      </c>
      <c r="K33" s="5" t="s">
        <v>390</v>
      </c>
      <c r="L33" s="5">
        <v>192</v>
      </c>
      <c r="M33" s="5" t="s">
        <v>858</v>
      </c>
      <c r="N33" s="5" t="s">
        <v>859</v>
      </c>
      <c r="O33" s="5" t="s">
        <v>860</v>
      </c>
      <c r="P33" s="6" t="s">
        <v>74</v>
      </c>
      <c r="Q33" s="6" t="s">
        <v>74</v>
      </c>
      <c r="R33" s="6" t="s">
        <v>74</v>
      </c>
      <c r="S33" s="6" t="s">
        <v>74</v>
      </c>
    </row>
  </sheetData>
  <mergeCells count="2">
    <mergeCell ref="A1:S1"/>
    <mergeCell ref="A2:S2"/>
  </mergeCells>
  <conditionalFormatting sqref="P4:P33">
    <cfRule type="cellIs" dxfId="0" priority="1" operator="equal">
      <formula>"一致"</formula>
    </cfRule>
    <cfRule type="cellIs" dxfId="1" priority="2" operator="equal">
      <formula>"不一致"</formula>
    </cfRule>
    <cfRule type="cellIs" dxfId="2" priority="3" operator="equal">
      <formula>"不确定"</formula>
    </cfRule>
  </conditionalFormatting>
  <dataValidations count="2">
    <dataValidation type="list" sqref="P4:P33">
      <formula1>"一致,不一致,不确定"</formula1>
    </dataValidation>
    <dataValidation type="list" sqref="Q4:Q33">
      <formula1>"端点遗漏,第三对象遗漏,方向错误,关系过宽,关系过窄,Scope变全局,集合到个体,类比/元关系,其他"</formula1>
    </dataValidation>
  </dataValidations>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审计说明与汇总</vt:lpstr>
      <vt:lpstr>Entity审计</vt:lpstr>
      <vt:lpstr>Assertion审计</vt:lpstr>
      <vt:lpstr>二元关系映射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王一博</cp:lastModifiedBy>
  <dcterms:created xsi:type="dcterms:W3CDTF">2026-08-17T10:14:16Z</dcterms:created>
  <dcterms:modified xsi:type="dcterms:W3CDTF">2026-08-17T10:27:27Z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114FD672D9B649E691C9166CCC18A8CF_12</vt:lpwstr>
  </property>
  <property fmtid="{D5CDD505-2E9C-101B-9397-08002B2CF9AE}" pid="3" name="KSOProductBuildVer">
    <vt:lpwstr>2052-12.1.0.21915</vt:lpwstr>
  </property>
</Properties>
</file>